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hypermarcas-my.sharepoint.com/personal/felipemartins_hypera_com_br/Documents/Arquivos de Chat do Microsoft Teams/"/>
    </mc:Choice>
  </mc:AlternateContent>
  <xr:revisionPtr revIDLastSave="0" documentId="8_{6080B05B-B151-4052-9BAB-F3E8A28FA806}" xr6:coauthVersionLast="47" xr6:coauthVersionMax="47" xr10:uidLastSave="{00000000-0000-0000-0000-000000000000}"/>
  <bookViews>
    <workbookView xWindow="28680" yWindow="-120" windowWidth="20730" windowHeight="11040" tabRatio="663" firstSheet="1" activeTab="1" xr2:uid="{AE46839E-991D-4DA6-9882-C3D83D9AAAAD}"/>
  </bookViews>
  <sheets>
    <sheet name="dOrcamento" sheetId="3" r:id="rId1"/>
    <sheet name="fPLanejado" sheetId="5" r:id="rId2"/>
    <sheet name="fRealizado" sheetId="4" r:id="rId3"/>
    <sheet name="dContratos " sheetId="2" r:id="rId4"/>
    <sheet name="Regras Forecast" sheetId="6" state="hidden" r:id="rId5"/>
    <sheet name="dContas" sheetId="1" state="hidden" r:id="rId6"/>
    <sheet name="Fornecedores" sheetId="8" r:id="rId7"/>
    <sheet name="Funcional" sheetId="7" r:id="rId8"/>
  </sheets>
  <definedNames>
    <definedName name="_xlnm._FilterDatabase" localSheetId="3" hidden="1">'dContratos '!$A$2:$AC$20</definedName>
    <definedName name="_xlnm._FilterDatabase" localSheetId="0" hidden="1">dOrcamento!$A$1:$L$82</definedName>
    <definedName name="_xlnm._FilterDatabase" localSheetId="1" hidden="1">fPLanejado!$A$1:$M$1</definedName>
    <definedName name="_xlnm._FilterDatabase" localSheetId="2" hidden="1">fRealizado!$A$1:$U$32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2" l="1"/>
  <c r="T20" i="2"/>
  <c r="V20" i="2" s="1"/>
  <c r="X20" i="2" s="1"/>
  <c r="S29" i="4"/>
  <c r="S30" i="4"/>
  <c r="Y20" i="2" l="1"/>
  <c r="T19" i="2" l="1"/>
  <c r="V19" i="2" s="1"/>
  <c r="X19" i="2" s="1"/>
  <c r="T18" i="2"/>
  <c r="T17" i="2"/>
  <c r="V17" i="2" s="1"/>
  <c r="X17" i="2" s="1"/>
  <c r="H14" i="5"/>
  <c r="H19" i="5"/>
  <c r="T16" i="2"/>
  <c r="V16" i="2" s="1"/>
  <c r="X16" i="2" s="1"/>
  <c r="T15" i="2"/>
  <c r="V15" i="2" s="1"/>
  <c r="X15" i="2" s="1"/>
  <c r="Y15" i="2" s="1"/>
  <c r="Y19" i="2" l="1"/>
  <c r="V18" i="2"/>
  <c r="X18" i="2" s="1"/>
  <c r="Y18" i="2" s="1"/>
  <c r="Y17" i="2"/>
  <c r="Y16" i="2"/>
  <c r="T5" i="2" l="1"/>
  <c r="T6" i="2"/>
  <c r="T7" i="2"/>
  <c r="T8" i="2"/>
  <c r="T9" i="2"/>
  <c r="T10" i="2"/>
  <c r="T11" i="2"/>
  <c r="T12" i="2"/>
  <c r="T13" i="2"/>
  <c r="T14" i="2"/>
  <c r="V14" i="2" s="1"/>
  <c r="X14" i="2" s="1"/>
  <c r="Y14" i="2" s="1"/>
  <c r="T3" i="2"/>
  <c r="V10" i="2" l="1"/>
  <c r="X10" i="2" s="1"/>
  <c r="Y10" i="2" s="1"/>
  <c r="V12" i="2"/>
  <c r="X12" i="2" s="1"/>
  <c r="Y12" i="2" s="1"/>
  <c r="V11" i="2"/>
  <c r="X11" i="2" s="1"/>
  <c r="Y11" i="2" s="1"/>
  <c r="V8" i="2"/>
  <c r="X8" i="2" s="1"/>
  <c r="Y8" i="2" s="1"/>
  <c r="V9" i="2"/>
  <c r="X9" i="2" s="1"/>
  <c r="Y9" i="2" s="1"/>
  <c r="V13" i="2"/>
  <c r="X13" i="2" s="1"/>
  <c r="Y13" i="2" s="1"/>
  <c r="V7" i="2"/>
  <c r="X7" i="2" s="1"/>
  <c r="Y7" i="2" s="1"/>
  <c r="H23" i="5"/>
  <c r="H22" i="5"/>
  <c r="H21" i="5"/>
  <c r="H20" i="5"/>
  <c r="H18" i="5"/>
  <c r="H17" i="5"/>
  <c r="H16" i="5"/>
  <c r="H1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tc={EA81FFFE-90CF-4AE5-B47B-049BA57CE6AC}</author>
  </authors>
  <commentList>
    <comment ref="J1" authorId="0" shapeId="0" xr:uid="{EA81FFFE-90CF-4AE5-B47B-049BA57CE6AC}">
      <text>
        <t>[Threaded comment]
Your version of Excel allows you to read this threaded comment; however, any edits to it will get removed if the file is opened in a newer version of Excel. Learn more: https://go.microsoft.com/fwlink/?linkid=870924
Comment:
    Avaliar (pois tabela será opcional)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tc={1C8ABB40-6865-4734-A23F-7B2DE78925E7}</author>
    <author>tc={DECF81D1-FD21-4E6A-8A7A-5D8CE94199B0}</author>
  </authors>
  <commentList>
    <comment ref="C1" authorId="0" shapeId="0" xr:uid="{1C8ABB40-6865-4734-A23F-7B2DE78925E7}">
      <text>
        <t>[Threaded comment]
Your version of Excel allows you to read this threaded comment; however, any edits to it will get removed if the file is opened in a newer version of Excel. Learn more: https://go.microsoft.com/fwlink/?linkid=870924
Comment:
    Material / Serviço  (Ser tratado de forma genérica)</t>
      </text>
    </comment>
    <comment ref="D1" authorId="1" shapeId="0" xr:uid="{DECF81D1-FD21-4E6A-8A7A-5D8CE94199B0}">
      <text>
        <t>[Threaded comment]
Your version of Excel allows you to read this threaded comment; however, any edits to it will get removed if the file is opened in a newer version of Excel. Learn more: https://go.microsoft.com/fwlink/?linkid=870924
Comment:
    Material / Serviço  (Ser tratado de forma genérica)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tc={1B080A55-6D89-4B9D-BCD1-13387AA4F01E}</author>
    <author>tc={70BE6BB5-6441-4962-B109-9E639F391770}</author>
    <author>tc={4A4AD843-D255-4F75-979C-5E281BE3F5ED}</author>
    <author>tc={34A5019A-15F3-48A9-A72E-8A91D3B013B5}</author>
    <author>tc={BA08EFA6-C85B-4D5A-98D0-D9E05578A180}</author>
    <author>tc={295075F2-201B-4447-BC46-DDCCBC4A4156}</author>
    <author>tc={7D39F5DD-B401-4C51-B972-70A6C6B4AFBB}</author>
    <author>tc={FAFF565A-73F6-42CB-AD95-298F625F9A59}</author>
    <author>tc={E09E1FA8-77AD-45AE-9948-9B9AB05BF8C6}</author>
    <author>tc={49E9BE08-213C-4B2E-90B1-E3F2A503A3E4}</author>
    <author>tc={C125AF0E-D88A-44A9-A415-2AFC15CBBD04}</author>
    <author>tc={343DA234-D31A-4ACF-A11C-F6874D3FE453}</author>
    <author>tc={5781E8A3-FD0E-4A48-B93C-C4D2EA38E1E0}</author>
  </authors>
  <commentList>
    <comment ref="J2" authorId="0" shapeId="0" xr:uid="{1B080A55-6D89-4B9D-BCD1-13387AA4F01E}">
      <text>
        <t>[Threaded comment]
Your version of Excel allows you to read this threaded comment; however, any edits to it will get removed if the file is opened in a newer version of Excel. Learn more: https://go.microsoft.com/fwlink/?linkid=870924
Comment:
    Material / Serviço  (Ser tratado de forma genérica)</t>
      </text>
    </comment>
    <comment ref="K2" authorId="1" shapeId="0" xr:uid="{70BE6BB5-6441-4962-B109-9E639F391770}">
      <text>
        <t>[Threaded comment]
Your version of Excel allows you to read this threaded comment; however, any edits to it will get removed if the file is opened in a newer version of Excel. Learn more: https://go.microsoft.com/fwlink/?linkid=870924
Comment:
    Material / Serviço  (Ser tratado de forma genérica)</t>
      </text>
    </comment>
    <comment ref="U2" authorId="2" shapeId="0" xr:uid="{4A4AD843-D255-4F75-979C-5E281BE3F5ED}">
      <text>
        <t>[Threaded comment]
Your version of Excel allows you to read this threaded comment; however, any edits to it will get removed if the file is opened in a newer version of Excel. Learn more: https://go.microsoft.com/fwlink/?linkid=870924
Comment:
    Percentual cobrado para pagto de imposto pelo fornecedor</t>
      </text>
    </comment>
    <comment ref="V2" authorId="3" shapeId="0" xr:uid="{34A5019A-15F3-48A9-A72E-8A91D3B013B5}">
      <text>
        <t>[Threaded comment]
Your version of Excel allows you to read this threaded comment; however, any edits to it will get removed if the file is opened in a newer version of Excel. Learn more: https://go.microsoft.com/fwlink/?linkid=870924
Comment:
    Fórmula = Valor_total_sem_imposto / Valor_perc_cobrado_fornec</t>
      </text>
    </comment>
    <comment ref="X2" authorId="4" shapeId="0" xr:uid="{BA08EFA6-C85B-4D5A-98D0-D9E05578A180}">
      <text>
        <t>[Threaded comment]
Your version of Excel allows you to read this threaded comment; however, any edits to it will get removed if the file is opened in a newer version of Excel. Learn more: https://go.microsoft.com/fwlink/?linkid=870924
Comment:
    Valor_cobrado_fornecedor*Perc_tributos</t>
      </text>
    </comment>
    <comment ref="AA2" authorId="5" shapeId="0" xr:uid="{295075F2-201B-4447-BC46-DDCCBC4A4156}">
      <text>
        <t>[Threaded comment]
Your version of Excel allows you to read this threaded comment; however, any edits to it will get removed if the file is opened in a newer version of Excel. Learn more: https://go.microsoft.com/fwlink/?linkid=870924
Comment:
    Adicionar campo (verificar pelo campo realizado</t>
      </text>
    </comment>
    <comment ref="W7" authorId="6" shapeId="0" xr:uid="{7D39F5DD-B401-4C51-B972-70A6C6B4AF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Beatriz Mantovani informou em Tributos de licenças é 12,15% e tributos de serviço (linha do suporte premier) é 6,55%.
imposto é sempre calculado por dentro, ou seja, licenças vc divide por 0.8785 e serviços vc divide por 0.9345
</t>
      </text>
    </comment>
    <comment ref="W8" authorId="7" shapeId="0" xr:uid="{FAFF565A-73F6-42CB-AD95-298F625F9A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Beatriz Mantovani informou em Tributos de licenças é 12,15% e tributos de serviço (linha do suporte premier) é 6,55%.
imposto é sempre calculado por dentro, ou seja, licenças vc divide por 0.8785 e serviços vc divide por 0.9345
</t>
      </text>
    </comment>
    <comment ref="W9" authorId="8" shapeId="0" xr:uid="{E09E1FA8-77AD-45AE-9948-9B9AB05BF8C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Beatriz Mantovani informou em Tributos de licenças é 12,15% e tributos de serviço (linha do suporte premier) é 6,55%.
imposto é sempre calculado por dentro, ou seja, licenças vc divide por 0.8785 e serviços vc divide por 0.9345
</t>
      </text>
    </comment>
    <comment ref="W10" authorId="9" shapeId="0" xr:uid="{49E9BE08-213C-4B2E-90B1-E3F2A503A3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Beatriz Mantovani informou em Tributos de licenças é 12,15% e tributos de serviço (linha do suporte premier) é 6,55%.
imposto é sempre calculado por dentro, ou seja, licenças vc divide por 0.8785 e serviços vc divide por 0.9345
</t>
      </text>
    </comment>
    <comment ref="W11" authorId="10" shapeId="0" xr:uid="{C125AF0E-D88A-44A9-A415-2AFC15CBBD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Beatriz Mantovani informou em Tributos de licenças é 12,15% e tributos de serviço (linha do suporte premier) é 6,55%.
imposto é sempre calculado por dentro, ou seja, licenças vc divide por 0.8785 e serviços vc divide por 0.9345
</t>
      </text>
    </comment>
    <comment ref="W12" authorId="11" shapeId="0" xr:uid="{343DA234-D31A-4ACF-A11C-F6874D3FE4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Beatriz Mantovani informou em Tributos de licenças é 12,15% e tributos de serviço (linha do suporte premier) é 6,55%.
imposto é sempre calculado por dentro, ou seja, licenças vc divide por 0.8785 e serviços vc divide por 0.9345
</t>
      </text>
    </comment>
    <comment ref="W13" authorId="12" shapeId="0" xr:uid="{5781E8A3-FD0E-4A48-B93C-C4D2EA38E1E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Beatriz Mantovani informou em Tributos de licenças é 12,15% e tributos de serviço (linha do suporte premier) é 6,55%.
imposto é sempre calculado por dentro, ou seja, licenças vc divide por 0.8785 e serviços vc divide por 0.9345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tc={EAC1F8B1-A9C1-4ABE-A0DB-174164B3B653}</author>
  </authors>
  <commentList>
    <comment ref="D3" authorId="0" shapeId="0" xr:uid="{EAC1F8B1-A9C1-4ABE-A0DB-174164B3B653}">
      <text>
        <t>[Threaded comment]
Your version of Excel allows you to read this threaded comment; however, any edits to it will get removed if the file is opened in a newer version of Excel. Learn more: https://go.microsoft.com/fwlink/?linkid=870924
Comment:
    Pode ser dos tipos:
- CAPEX (Externo) - Software
- CAPEX (Externo) - Hardware
- CAPEX (Interno) - Recursos Internos
- OPEX - Locação / Consultorias / Suporte Informática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tc={52E9A936-4725-4117-8399-60135600F66A}</author>
  </authors>
  <commentList>
    <comment ref="B52" authorId="0" shapeId="0" xr:uid="{52E9A936-4725-4117-8399-60135600F66A}">
      <text>
        <t>[Threaded comment]
Your version of Excel allows you to read this threaded comment; however, any edits to it will get removed if the file is opened in a newer version of Excel. Learn more: https://go.microsoft.com/fwlink/?linkid=870924
Comment:
    Adicionar campo (verificar pelo campo realizado</t>
      </text>
    </comment>
  </commentList>
</comments>
</file>

<file path=xl/sharedStrings.xml><?xml version="1.0" encoding="utf-8"?>
<sst xmlns="http://schemas.openxmlformats.org/spreadsheetml/2006/main" count="1210" uniqueCount="300">
  <si>
    <t>ID_Orcamento /Ordem (índice)</t>
  </si>
  <si>
    <t>Data (use sempre dia 1)</t>
  </si>
  <si>
    <t>Data fim</t>
  </si>
  <si>
    <t>Data_faturamento</t>
  </si>
  <si>
    <t>Serviço</t>
  </si>
  <si>
    <t>Descrição</t>
  </si>
  <si>
    <t>Responsável</t>
  </si>
  <si>
    <t>Solicitado por</t>
  </si>
  <si>
    <t>Valor_Orcado</t>
  </si>
  <si>
    <t>ID_Conta</t>
  </si>
  <si>
    <t>Status</t>
  </si>
  <si>
    <t>Obs</t>
  </si>
  <si>
    <t>SALESFORCE</t>
  </si>
  <si>
    <t>Licenciamento Salesforce Marketing Cloud</t>
  </si>
  <si>
    <t>Allan Lima</t>
  </si>
  <si>
    <t>Milton Akio</t>
  </si>
  <si>
    <t>Licenciamento Salesforce Service Cloud (Licitação)</t>
  </si>
  <si>
    <t>Licenciamento Salesforce -Tableau</t>
  </si>
  <si>
    <t>SALESFORCE MKT CLOUD</t>
  </si>
  <si>
    <t>Suporte para Salesforce Marketing Cloud</t>
  </si>
  <si>
    <t>SALESFORCE CDP</t>
  </si>
  <si>
    <t>Suporte para Salesforce CDP</t>
  </si>
  <si>
    <t>Licenciamento Salesforce CDP</t>
  </si>
  <si>
    <t>GLOBANT (SALESFORCE LICITAÇÃO)</t>
  </si>
  <si>
    <t>Suporte para SalesForce Licitação</t>
  </si>
  <si>
    <t>Mensageria de sms</t>
  </si>
  <si>
    <t>ID Fornecedor</t>
  </si>
  <si>
    <t>FORNECEDOR</t>
  </si>
  <si>
    <t>ID Item Planejado</t>
  </si>
  <si>
    <t>Item Planejado</t>
  </si>
  <si>
    <t>Data_Competência</t>
  </si>
  <si>
    <t>Preço</t>
  </si>
  <si>
    <t>Observação</t>
  </si>
  <si>
    <t>É DESPESA ANTECIPADA</t>
  </si>
  <si>
    <t>RATEIO</t>
  </si>
  <si>
    <t>PROPOSTA</t>
  </si>
  <si>
    <t>PRODUTO</t>
  </si>
  <si>
    <t>Globant Brasil Consultoria Ltda</t>
  </si>
  <si>
    <t>Suporte Sales Cloud</t>
  </si>
  <si>
    <t>manutenção jan/25 - houve problema de nota pelo fornecedor e foi lancado em abril/25</t>
  </si>
  <si>
    <t>SalesCloud</t>
  </si>
  <si>
    <t>manutenção fev/25</t>
  </si>
  <si>
    <t>manutenção mar/25</t>
  </si>
  <si>
    <t>manutenção abr/25</t>
  </si>
  <si>
    <t>manutenção mai/25</t>
  </si>
  <si>
    <t>manutenção jun/25</t>
  </si>
  <si>
    <t>manutenção jul/25</t>
  </si>
  <si>
    <t>manutenção ago/25</t>
  </si>
  <si>
    <t>manutenção set/25</t>
  </si>
  <si>
    <t>manutenção out/25</t>
  </si>
  <si>
    <t>manutenção nov/25</t>
  </si>
  <si>
    <t>manutenção dez/25</t>
  </si>
  <si>
    <t>(160h CDP+MKT) manutenção DataCloud ago/25 (pro-rata)</t>
  </si>
  <si>
    <t>24191 - 50% / 29225 - 25% / 29232 - 25%</t>
  </si>
  <si>
    <t>DataCloud</t>
  </si>
  <si>
    <t>(160h CDP+MKT) manutenção DataCloud set/25</t>
  </si>
  <si>
    <t>(160h CDP+MKT) manutenção DataCloud out/25</t>
  </si>
  <si>
    <t>(160h CDP+MKT) manutenção DataCloud nov/25</t>
  </si>
  <si>
    <t>(160h CDP+MKT) manutenção DataCloud dez/25</t>
  </si>
  <si>
    <t>(160h CDP+MKT) manutenção MKT Cloud ago/25 (pro-rata)</t>
  </si>
  <si>
    <t>MKT Cloud</t>
  </si>
  <si>
    <t>(160h CDP+MKT) manutenção MKT Cloud set/25</t>
  </si>
  <si>
    <t>(160h CDP+MKT) manutenção MKT Cloud out/25</t>
  </si>
  <si>
    <t>(160h CDP+MKT) manutenção MKT Cloud nov/25</t>
  </si>
  <si>
    <t>(160h CDP+MKT) manutenção MKT Cloud dez/25</t>
  </si>
  <si>
    <t>Salesforce Tecnologia Ltda</t>
  </si>
  <si>
    <t>Licença SalesCloud (15 ADM + 100 Partner + Data Storage + CRM)</t>
  </si>
  <si>
    <t xml:space="preserve">13/10/2025 até 12/10/2026_Licença SalesCloud (15 ADM + 100 Partner + Data Storage + CRM) </t>
  </si>
  <si>
    <t>Suporte Premier SalesCloud</t>
  </si>
  <si>
    <t>13/10/2025 até 12/10/2026_Suporte Premier</t>
  </si>
  <si>
    <t>Tableau Viewer 2/4</t>
  </si>
  <si>
    <t>Tableau</t>
  </si>
  <si>
    <t>Licenciamento Tableau Creator 2/4</t>
  </si>
  <si>
    <t>Tableau Viewer 3/4</t>
  </si>
  <si>
    <t>Licenciamento Tableau Creator 3/4</t>
  </si>
  <si>
    <t>Licenciamento Tableau Creator 4/4</t>
  </si>
  <si>
    <t>Tableau Viewer 4/4</t>
  </si>
  <si>
    <t>LEOO CRM COMPANY</t>
  </si>
  <si>
    <t>Trava MKT Cloud - disparo SMS</t>
  </si>
  <si>
    <t>Alerta e trava de disparos de SMS no MKT Cloud</t>
  </si>
  <si>
    <t>CDC 24191 - 50% (Exc Comercial);
CDC 29225 - 25% (Planejamento SG);
CDC 29232 - 25% (Parceiro Hypera)</t>
  </si>
  <si>
    <t>100 Horas adicionais sustentação SalesCloud (valor hora = R$ 217,13)</t>
  </si>
  <si>
    <t>ID_Contrato</t>
  </si>
  <si>
    <t>ID_Item_Contrato</t>
  </si>
  <si>
    <t>Objeto do contrato</t>
  </si>
  <si>
    <t>ID REF DO FORNECEDOR</t>
  </si>
  <si>
    <t>NF</t>
  </si>
  <si>
    <t>TASK RC</t>
  </si>
  <si>
    <t>RC</t>
  </si>
  <si>
    <t>PO</t>
  </si>
  <si>
    <t>FOLHA DE SERVIÇO</t>
  </si>
  <si>
    <t>Data de Competência</t>
  </si>
  <si>
    <t>Valor pago</t>
  </si>
  <si>
    <t>Data de Pagamento Real</t>
  </si>
  <si>
    <t>Versão 1.0 / Dezembro 2024</t>
  </si>
  <si>
    <t>Não</t>
  </si>
  <si>
    <t>Abril/25 - v2.0</t>
  </si>
  <si>
    <t>A</t>
  </si>
  <si>
    <t>Licença Sales Cloud -
Enterprise Edition</t>
  </si>
  <si>
    <t>TASK1247407</t>
  </si>
  <si>
    <t>Q-10560260</t>
  </si>
  <si>
    <t>SalesCloud - renovação licenças set/2025 até set/2027</t>
  </si>
  <si>
    <t>B</t>
  </si>
  <si>
    <t>Licença CRM Analytics Plus - Enterprise Edition</t>
  </si>
  <si>
    <t>C</t>
  </si>
  <si>
    <t>Salesforce Archive (1 GB)</t>
  </si>
  <si>
    <t>D</t>
  </si>
  <si>
    <t>Archive Console</t>
  </si>
  <si>
    <t>E</t>
  </si>
  <si>
    <t>Salesforce Backup &amp; Recover (1 GB)</t>
  </si>
  <si>
    <t>F</t>
  </si>
  <si>
    <t xml:space="preserve">File Storage (1TB) </t>
  </si>
  <si>
    <t>G</t>
  </si>
  <si>
    <t>(Licença Distribuidores) Partner Community - Enterprise Edition -
Members</t>
  </si>
  <si>
    <t>H</t>
  </si>
  <si>
    <t>Premier Success Plan
- Salesforce Platform</t>
  </si>
  <si>
    <t>I</t>
  </si>
  <si>
    <t>Premier Success Plan - Licença CRM Analytics Plus</t>
  </si>
  <si>
    <t>J</t>
  </si>
  <si>
    <t>Premier Success Plan - (Licença Distribuidores) Partner Community</t>
  </si>
  <si>
    <t>K</t>
  </si>
  <si>
    <t>Tableau Cloud -
Viewer</t>
  </si>
  <si>
    <t>TASK1016327</t>
  </si>
  <si>
    <t>Q-08660099</t>
  </si>
  <si>
    <t>M</t>
  </si>
  <si>
    <t>Tableau Cloud -
Creator</t>
  </si>
  <si>
    <t>TASK1117555</t>
  </si>
  <si>
    <t>Tableau Viewer 4/4 - complemento (pago com saldo de PO 4100094170)</t>
  </si>
  <si>
    <t>TASK1199527</t>
  </si>
  <si>
    <t xml:space="preserve">SMS/MMS Mobile Messages </t>
  </si>
  <si>
    <t>TASK1199741</t>
  </si>
  <si>
    <t>Q-10133192 </t>
  </si>
  <si>
    <t>Adicional SMS jul/25</t>
  </si>
  <si>
    <t>relacionado com a tabela fPlanejado</t>
  </si>
  <si>
    <t>Percentual cobrado para pagto de imposto pelo fornecedor</t>
  </si>
  <si>
    <t>Fórmula = Valor_total_sem_imposto / Valor_perc_cobrado_fornec</t>
  </si>
  <si>
    <t>Valor_cobrado_fornecedor*Perc_tributos</t>
  </si>
  <si>
    <t>ID_contrato_elaw</t>
  </si>
  <si>
    <t>fornecedor</t>
  </si>
  <si>
    <t>CNPJ_Fornecedor</t>
  </si>
  <si>
    <t>Contratante</t>
  </si>
  <si>
    <t>CNPJ_Contratante</t>
  </si>
  <si>
    <t>Data inicio_contrato</t>
  </si>
  <si>
    <t>Data fim_contrato</t>
  </si>
  <si>
    <t>Indice_Reajuste</t>
  </si>
  <si>
    <t>Item do contrato</t>
  </si>
  <si>
    <t>Data inicio_item</t>
  </si>
  <si>
    <t>Data fim_item</t>
  </si>
  <si>
    <t>Tempo_item_contrato</t>
  </si>
  <si>
    <t>Qtd_item</t>
  </si>
  <si>
    <t>unid_medida</t>
  </si>
  <si>
    <t>Preco_unit</t>
  </si>
  <si>
    <t>Valor_total_sem_imposto</t>
  </si>
  <si>
    <t>Valor_perc_cobrado_fornec</t>
  </si>
  <si>
    <t>Valor_base_calculo_imposto</t>
  </si>
  <si>
    <t>Perc_tributos</t>
  </si>
  <si>
    <t>Valor_tributos</t>
  </si>
  <si>
    <t>Valor_total_bruto_item</t>
  </si>
  <si>
    <t>tipo de cobrança</t>
  </si>
  <si>
    <t>Valor consumido</t>
  </si>
  <si>
    <t>05.164.674/0001-45</t>
  </si>
  <si>
    <t>Hypera S/A</t>
  </si>
  <si>
    <t xml:space="preserve">02.932.074/0006-04 </t>
  </si>
  <si>
    <t>IPCA</t>
  </si>
  <si>
    <t>GLB_1</t>
  </si>
  <si>
    <t>pct</t>
  </si>
  <si>
    <t>MENSAL</t>
  </si>
  <si>
    <t>40h manutenção SalesCloud</t>
  </si>
  <si>
    <t>GLB_2</t>
  </si>
  <si>
    <t>Suporte Sales Cloud (Hora Adicional)</t>
  </si>
  <si>
    <t>unid</t>
  </si>
  <si>
    <t>PONTUAL</t>
  </si>
  <si>
    <t>hora adicional</t>
  </si>
  <si>
    <t>GLB_3</t>
  </si>
  <si>
    <t>GLB_4</t>
  </si>
  <si>
    <t>01.080.512/0001-78</t>
  </si>
  <si>
    <t>HYPERA S/A</t>
  </si>
  <si>
    <t>IGPM</t>
  </si>
  <si>
    <t>Anual</t>
  </si>
  <si>
    <t>SalesCloud - renovação licenças set/2025 até set/2028</t>
  </si>
  <si>
    <t>SalesCloud - renovação licenças set/2025 até set/2029</t>
  </si>
  <si>
    <t>SalesCloud - renovação licenças set/2025 até set/2030</t>
  </si>
  <si>
    <t>SalesCloud - renovação licenças set/2025 até set/2031</t>
  </si>
  <si>
    <t>SalesCloud - renovação licenças set/2025 até set/2032</t>
  </si>
  <si>
    <t>SalesCloud - renovação licenças set/2025 até set/2033</t>
  </si>
  <si>
    <t>SalesCloud - renovação licenças set/2025 até set/2034</t>
  </si>
  <si>
    <t>SalesCloud - renovação licenças set/2025 até set/2035</t>
  </si>
  <si>
    <t>??</t>
  </si>
  <si>
    <t>Trimestral</t>
  </si>
  <si>
    <t>Tableau Viewer - contratação com CDP e MKT Cloud abr/2024 até out/2025</t>
  </si>
  <si>
    <t>L</t>
  </si>
  <si>
    <t>Tableau Creator - contratação com CDP e MKT Cloud abr/2024 até out/2025</t>
  </si>
  <si>
    <t>Q-10133192</t>
  </si>
  <si>
    <t>N</t>
  </si>
  <si>
    <t>Id orçamento</t>
  </si>
  <si>
    <t>Tipo do calculo</t>
  </si>
  <si>
    <t>puxa automatico</t>
  </si>
  <si>
    <t>Suporte CDP</t>
  </si>
  <si>
    <t>Globant</t>
  </si>
  <si>
    <t>ID_Recurso</t>
  </si>
  <si>
    <t>TIPO</t>
  </si>
  <si>
    <t>ORC-0001</t>
  </si>
  <si>
    <t>CONTR_01</t>
  </si>
  <si>
    <t>REC-001</t>
  </si>
  <si>
    <t>Pagamento NF 123 - Microsoft O365</t>
  </si>
  <si>
    <t>Microsoft</t>
  </si>
  <si>
    <t xml:space="preserve">Valor total ano por mês </t>
  </si>
  <si>
    <t>dividir valor do ano por meses</t>
  </si>
  <si>
    <t>(VERIFICAR se essa tabela será opcional) Tabela CONTA= finalidade é para verificar "Realizado" se é OPEX/ CAPEX</t>
  </si>
  <si>
    <t>ID de Ref do fornecedor</t>
  </si>
  <si>
    <t>ID Orçado</t>
  </si>
  <si>
    <t>Grupo</t>
  </si>
  <si>
    <t>Categoria (CAPEX/OPEX)</t>
  </si>
  <si>
    <t>Tipo (Receita/Despesa)</t>
  </si>
  <si>
    <t>Data Inicio</t>
  </si>
  <si>
    <t>Data Fim</t>
  </si>
  <si>
    <t>Valor</t>
  </si>
  <si>
    <t>Tecnologia</t>
  </si>
  <si>
    <t>CAPEX</t>
  </si>
  <si>
    <t>Despesa</t>
  </si>
  <si>
    <t>LICENCIAMENTO OFFICE 365</t>
  </si>
  <si>
    <t>Pessoal</t>
  </si>
  <si>
    <t>OPEX</t>
  </si>
  <si>
    <t>ANUAL</t>
  </si>
  <si>
    <t>DESENVOLVIMENTO APP</t>
  </si>
  <si>
    <t>Fornecedores</t>
  </si>
  <si>
    <t>Vendas</t>
  </si>
  <si>
    <t>N/A</t>
  </si>
  <si>
    <t>Receita</t>
  </si>
  <si>
    <t>Endereço</t>
  </si>
  <si>
    <t>Cidade</t>
  </si>
  <si>
    <t>Estado</t>
  </si>
  <si>
    <t>Av. das Nações Unidas, 14.401, conj. 51, 52, 53, 54, 61 e 64, Edif. A2 - Torre Jequitibá, Vila Gertrudes, CEP 04.794- 000</t>
  </si>
  <si>
    <t>São Paulo</t>
  </si>
  <si>
    <t>SP</t>
  </si>
  <si>
    <t>Av. Jornalista Roberto Marinho, 85 - 14 andar , CEP 04576-010</t>
  </si>
  <si>
    <t>Aba voltada para recordar como realizamos o aval positivo para confeccionar a tabela inicial de dados manuais v.1</t>
  </si>
  <si>
    <t>fPlanejado</t>
  </si>
  <si>
    <t>fRealizado</t>
  </si>
  <si>
    <t>Campo</t>
  </si>
  <si>
    <t>Exemplo de Preenchimento</t>
  </si>
  <si>
    <t>Data de competência do gasto.</t>
  </si>
  <si>
    <t>-1000.00</t>
  </si>
  <si>
    <t>O valor real da transação (negativo para despesa).</t>
  </si>
  <si>
    <t>Data que o dinheiro saiu do caixa. Essencial para Fluxo de Caixa.</t>
  </si>
  <si>
    <r>
      <t>A ligação principal!</t>
    </r>
    <r>
      <rPr>
        <sz val="11"/>
        <color theme="1"/>
        <rFont val="Aptos Narrow"/>
        <family val="2"/>
        <scheme val="minor"/>
      </rPr>
      <t xml:space="preserve"> Diz a qual linha do orçamento este gasto pertence.</t>
    </r>
  </si>
  <si>
    <r>
      <t xml:space="preserve">Liga à tabela </t>
    </r>
    <r>
      <rPr>
        <sz val="10"/>
        <color theme="1"/>
        <rFont val="Arial Unicode MS"/>
      </rPr>
      <t>dContas</t>
    </r>
    <r>
      <rPr>
        <sz val="11"/>
        <color theme="1"/>
        <rFont val="Aptos Narrow"/>
        <family val="2"/>
        <scheme val="minor"/>
      </rPr>
      <t>. De lá, o Power BI saberá que é "CAPEX", "Tecnologia", etc.</t>
    </r>
  </si>
  <si>
    <t>ok</t>
  </si>
  <si>
    <t>CF_001</t>
  </si>
  <si>
    <t>Código de referência do fornecedor.</t>
  </si>
  <si>
    <t>opcional</t>
  </si>
  <si>
    <t>CONTR-01</t>
  </si>
  <si>
    <r>
      <t xml:space="preserve">(Opcional) Liga à tabela </t>
    </r>
    <r>
      <rPr>
        <sz val="10"/>
        <color theme="1"/>
        <rFont val="Arial Unicode MS"/>
      </rPr>
      <t>dContratos</t>
    </r>
    <r>
      <rPr>
        <sz val="11"/>
        <color theme="1"/>
        <rFont val="Aptos Narrow"/>
        <family val="2"/>
        <scheme val="minor"/>
      </rPr>
      <t>.</t>
    </r>
  </si>
  <si>
    <t>Salesforce</t>
  </si>
  <si>
    <t>Nome do fornecedor (pode vir da tabela Contratos ou ser digitado).</t>
  </si>
  <si>
    <t>automatico</t>
  </si>
  <si>
    <r>
      <t xml:space="preserve">(Opcional) Liga à tabela </t>
    </r>
    <r>
      <rPr>
        <sz val="10"/>
        <color theme="1"/>
        <rFont val="Arial Unicode MS"/>
      </rPr>
      <t>dRecursos</t>
    </r>
    <r>
      <rPr>
        <sz val="11"/>
        <color theme="1"/>
        <rFont val="Aptos Narrow"/>
        <family val="2"/>
        <scheme val="minor"/>
      </rPr>
      <t>.</t>
    </r>
  </si>
  <si>
    <t>ID Item Contrato</t>
  </si>
  <si>
    <t>é o que vou selecionar</t>
  </si>
  <si>
    <t>Campo descritivo livre, conforme sua necessidade.</t>
  </si>
  <si>
    <t>Licença SalesCloud</t>
  </si>
  <si>
    <t>Descrição detalhada do que foi pago.</t>
  </si>
  <si>
    <t>vai ser automático?</t>
  </si>
  <si>
    <t>Data</t>
  </si>
  <si>
    <t>MSFT-5844A</t>
  </si>
  <si>
    <t>Número da Nota Fiscal.</t>
  </si>
  <si>
    <t>parcela 1 de 3</t>
  </si>
  <si>
    <t>campo texto livre</t>
  </si>
  <si>
    <t>Número da Requisição de Compra.</t>
  </si>
  <si>
    <t>Sim/Não.</t>
  </si>
  <si>
    <t>Número do Pedido de Compra (Purchase Order).</t>
  </si>
  <si>
    <t>50 % CC 15222 / 50% CC 15220</t>
  </si>
  <si>
    <t>campo texto livre_ Informação sobre como o custo é dividido.</t>
  </si>
  <si>
    <t>FS-050</t>
  </si>
  <si>
    <t>Número da Folha de Serviço.</t>
  </si>
  <si>
    <t>PROP-2024-55</t>
  </si>
  <si>
    <t>Número da proposta comercial.</t>
  </si>
  <si>
    <t>JIRA-1234</t>
  </si>
  <si>
    <t>Referência da tarefa.</t>
  </si>
  <si>
    <t>Produto ou serviço específico.</t>
  </si>
  <si>
    <t>chave (liga tabela planejado e contrato)</t>
  </si>
  <si>
    <r>
      <t xml:space="preserve">(opcional) Liga à tabela </t>
    </r>
    <r>
      <rPr>
        <sz val="10"/>
        <color theme="1"/>
        <rFont val="Arial Unicode MS"/>
      </rPr>
      <t>dContas</t>
    </r>
    <r>
      <rPr>
        <sz val="11"/>
        <color theme="1"/>
        <rFont val="Aptos Narrow"/>
        <family val="2"/>
        <scheme val="minor"/>
      </rPr>
      <t>. De lá, o Power BI saberá que é "CAPEX", "Tecnologia", etc.</t>
    </r>
  </si>
  <si>
    <t>Office 365 E3</t>
  </si>
  <si>
    <t>????</t>
  </si>
  <si>
    <t>100% Squad Azul</t>
  </si>
  <si>
    <t>Informação sobre como o custo é dividido.</t>
  </si>
  <si>
    <t>dContratos</t>
  </si>
  <si>
    <r>
      <rPr>
        <b/>
        <sz val="11"/>
        <color theme="1"/>
        <rFont val="Aptos Narrow"/>
        <family val="2"/>
        <scheme val="minor"/>
      </rPr>
      <t>Objetivo da tabela contrato</t>
    </r>
    <r>
      <rPr>
        <b/>
        <sz val="11"/>
        <color rgb="FF00B050"/>
        <rFont val="Aptos Narrow"/>
        <family val="2"/>
        <scheme val="minor"/>
      </rPr>
      <t>: verificar o consumo o link será pelo campo "PROPOSTA" entre Planejado e Realizado</t>
    </r>
  </si>
  <si>
    <t>coluna</t>
  </si>
  <si>
    <t>exemplo</t>
  </si>
  <si>
    <t>CONTR_02</t>
  </si>
  <si>
    <t>MICROSOFT</t>
  </si>
  <si>
    <t>Hypera AS</t>
  </si>
  <si>
    <t>Brainfarma</t>
  </si>
  <si>
    <t>000.000.000/0001-09</t>
  </si>
  <si>
    <t>133....</t>
  </si>
  <si>
    <t>ssss</t>
  </si>
  <si>
    <t>preenchimento manual</t>
  </si>
  <si>
    <t>(vem da tabela realizado)</t>
  </si>
  <si>
    <t>opcional (verificar se haverá vinculo)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</si>
</sst>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_ ;[Red]\-#,##0.00\ "/>
    <numFmt numFmtId="165" formatCode="_-* #,##0.0000_-;\-* #,##0.0000_-;_-* &quot;-&quot;??_-;_-@_-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1"/>
      <color rgb="FF00B05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9"/>
      <color theme="1"/>
      <name val="Segoe UI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0" fontId="1" fillId="0" borderId="0" xfId="0" applyFont="1" applyAlignment="1">
      <alignment vertical="center"/>
    </xf>
    <xf numFmtId="14" fontId="0" fillId="0" borderId="0" xfId="0" applyNumberFormat="1" applyAlignment="1">
      <alignment vertical="center"/>
    </xf>
    <xf numFmtId="0" fontId="0" fillId="2" borderId="0" xfId="0" applyFill="1"/>
    <xf numFmtId="0" fontId="0" fillId="4" borderId="0" xfId="0" applyFill="1" applyAlignment="1">
      <alignment vertical="center"/>
    </xf>
    <xf numFmtId="0" fontId="0" fillId="4" borderId="0" xfId="0" applyFill="1"/>
    <xf numFmtId="0" fontId="0" fillId="6" borderId="0" xfId="0" applyFill="1"/>
    <xf numFmtId="0" fontId="0" fillId="7" borderId="0" xfId="0" applyFill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8" borderId="0" xfId="0" applyFont="1" applyFill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5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0" fillId="8" borderId="0" xfId="0" applyFill="1"/>
    <xf numFmtId="0" fontId="0" fillId="3" borderId="0" xfId="0" applyFill="1"/>
    <xf numFmtId="0" fontId="3" fillId="0" borderId="9" xfId="0" applyFont="1" applyBorder="1"/>
    <xf numFmtId="0" fontId="1" fillId="4" borderId="0" xfId="0" applyFont="1" applyFill="1" applyAlignment="1">
      <alignment vertical="center"/>
    </xf>
    <xf numFmtId="0" fontId="0" fillId="0" borderId="12" xfId="0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0" xfId="0" applyAlignment="1">
      <alignment wrapText="1"/>
    </xf>
    <xf numFmtId="43" fontId="0" fillId="0" borderId="0" xfId="1" applyFont="1" applyFill="1"/>
    <xf numFmtId="0" fontId="7" fillId="0" borderId="0" xfId="0" applyFont="1"/>
    <xf numFmtId="0" fontId="5" fillId="0" borderId="18" xfId="0" applyFont="1" applyBorder="1"/>
    <xf numFmtId="165" fontId="0" fillId="0" borderId="0" xfId="1" applyNumberFormat="1" applyFont="1" applyFill="1"/>
    <xf numFmtId="10" fontId="0" fillId="0" borderId="0" xfId="1" applyNumberFormat="1" applyFont="1" applyFill="1"/>
    <xf numFmtId="43" fontId="0" fillId="0" borderId="0" xfId="0" applyNumberFormat="1"/>
    <xf numFmtId="0" fontId="1" fillId="0" borderId="19" xfId="0" applyFont="1" applyBorder="1" applyAlignment="1">
      <alignment vertical="center"/>
    </xf>
    <xf numFmtId="0" fontId="1" fillId="0" borderId="19" xfId="0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9" xfId="0" applyBorder="1"/>
    <xf numFmtId="0" fontId="0" fillId="0" borderId="19" xfId="0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0" fillId="0" borderId="19" xfId="0" applyBorder="1" applyAlignment="1">
      <alignment wrapText="1"/>
    </xf>
    <xf numFmtId="14" fontId="5" fillId="0" borderId="19" xfId="0" applyNumberFormat="1" applyFont="1" applyBorder="1" applyAlignment="1">
      <alignment horizontal="center"/>
    </xf>
    <xf numFmtId="164" fontId="5" fillId="0" borderId="19" xfId="1" applyNumberFormat="1" applyFont="1" applyFill="1" applyBorder="1"/>
    <xf numFmtId="14" fontId="6" fillId="0" borderId="19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14" fontId="5" fillId="0" borderId="17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0" xfId="0" applyBorder="1"/>
    <xf numFmtId="0" fontId="1" fillId="0" borderId="21" xfId="0" applyFont="1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3" xfId="0" applyBorder="1" applyAlignment="1">
      <alignment vertical="center"/>
    </xf>
    <xf numFmtId="0" fontId="5" fillId="0" borderId="23" xfId="0" applyFont="1" applyBorder="1" applyAlignment="1">
      <alignment horizontal="center"/>
    </xf>
    <xf numFmtId="14" fontId="5" fillId="0" borderId="23" xfId="0" applyNumberFormat="1" applyFont="1" applyBorder="1" applyAlignment="1">
      <alignment horizontal="center"/>
    </xf>
    <xf numFmtId="164" fontId="5" fillId="0" borderId="23" xfId="1" applyNumberFormat="1" applyFont="1" applyFill="1" applyBorder="1"/>
    <xf numFmtId="14" fontId="6" fillId="0" borderId="23" xfId="0" applyNumberFormat="1" applyFont="1" applyBorder="1" applyAlignment="1">
      <alignment horizontal="center"/>
    </xf>
    <xf numFmtId="0" fontId="0" fillId="0" borderId="24" xfId="0" applyBorder="1"/>
    <xf numFmtId="0" fontId="5" fillId="0" borderId="17" xfId="0" applyFont="1" applyBorder="1" applyAlignment="1">
      <alignment horizontal="center"/>
    </xf>
    <xf numFmtId="14" fontId="5" fillId="0" borderId="18" xfId="0" applyNumberFormat="1" applyFont="1" applyBorder="1" applyAlignment="1">
      <alignment horizontal="center"/>
    </xf>
    <xf numFmtId="164" fontId="5" fillId="0" borderId="0" xfId="1" applyNumberFormat="1" applyFont="1" applyFill="1" applyBorder="1"/>
    <xf numFmtId="0" fontId="0" fillId="0" borderId="23" xfId="0" applyBorder="1" applyAlignment="1">
      <alignment wrapText="1"/>
    </xf>
    <xf numFmtId="43" fontId="0" fillId="3" borderId="0" xfId="1" applyFont="1" applyFill="1"/>
    <xf numFmtId="0" fontId="1" fillId="0" borderId="23" xfId="0" applyFont="1" applyBorder="1" applyAlignment="1">
      <alignment vertical="center"/>
    </xf>
    <xf numFmtId="164" fontId="5" fillId="0" borderId="23" xfId="1" applyNumberFormat="1" applyFont="1" applyFill="1" applyBorder="1" applyAlignment="1">
      <alignment vertical="center"/>
    </xf>
    <xf numFmtId="0" fontId="5" fillId="0" borderId="24" xfId="0" applyFont="1" applyBorder="1"/>
  </cellXfs>
  <cellStyles count="2">
    <cellStyle name="Normal" xfId="0" builtinId="0"/>
    <cellStyle name="Vírgula" xfId="1" builtinId="3"/>
  </cellStyles>
  <dxfs count="111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* #,##0.0000_-;\-* #,##0.0000_-;_-* &quot;-&quot;??_-;_-@_-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theme="1" tint="0.34998626667073579"/>
      </font>
      <fill>
        <patternFill patternType="solid">
          <bgColor theme="7" tint="0.7999816888943144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64" formatCode="#,##0.00_ ;[Red]\-#,##0.00\ 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1" tint="0.34998626667073579"/>
      </font>
      <fill>
        <patternFill patternType="solid">
          <bgColor theme="7" tint="0.7999816888943144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34998626667073579"/>
      </font>
      <fill>
        <patternFill patternType="solid">
          <bgColor theme="7" tint="0.7999816888943144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rgb="FFC00000"/>
      </font>
    </dxf>
    <dxf>
      <font>
        <color theme="8"/>
      </font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34998626667073579"/>
      </font>
      <fill>
        <patternFill patternType="solid">
          <bgColor theme="7" tint="0.7999816888943144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34998626667073579"/>
      </font>
      <fill>
        <patternFill patternType="solid">
          <bgColor theme="7" tint="0.7999816888943144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34998626667073579"/>
      </font>
      <fill>
        <patternFill patternType="solid">
          <bgColor theme="7" tint="0.79998168889431442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</font>
      <fill>
        <patternFill patternType="none"/>
      </fill>
      <alignment horizontal="center" vertical="bottom" textRotation="0" wrapText="0" indent="0" justifyLastLine="0" shrinkToFit="0" readingOrder="0"/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/>
      </fill>
      <alignment horizontal="general" vertical="center" textRotation="0" wrapText="0" indent="0" justifyLastLine="0" shrinkToFit="0" readingOrder="0"/>
    </dxf>
    <dxf>
      <font>
        <color theme="1" tint="0.34998626667073579"/>
      </font>
      <fill>
        <patternFill patternType="solid">
          <bgColor theme="7" tint="0.7999816888943144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rgb="FFC00000"/>
      </font>
    </dxf>
    <dxf>
      <font>
        <color theme="8"/>
      </font>
    </dxf>
    <dxf>
      <font>
        <color theme="1" tint="0.34998626667073579"/>
      </font>
      <fill>
        <patternFill patternType="solid">
          <bgColor theme="7" tint="0.7999816888943144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34998626667073579"/>
      </font>
      <fill>
        <patternFill patternType="solid">
          <bgColor theme="7" tint="0.7999816888943144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34998626667073579"/>
      </font>
      <fill>
        <patternFill patternType="solid">
          <bgColor theme="7" tint="0.7999816888943144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34998626667073579"/>
      </font>
      <fill>
        <patternFill patternType="solid">
          <bgColor theme="7" tint="0.7999816888943144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ont>
        <color theme="1" tint="0.34998626667073579"/>
      </font>
      <fill>
        <patternFill patternType="solid">
          <bgColor theme="7" tint="0.79998168889431442"/>
        </patternFill>
      </fill>
    </dxf>
    <dxf>
      <font>
        <color theme="1" tint="0.499984740745262"/>
      </font>
      <fill>
        <patternFill>
          <bgColor theme="0" tint="-4.9989318521683403E-2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9" formatCode="dd/mm/yyyy"/>
      <fill>
        <patternFill patternType="none"/>
      </fill>
    </dxf>
    <dxf>
      <numFmt numFmtId="19" formatCode="dd/mm/yyyy"/>
      <fill>
        <patternFill patternType="none"/>
      </fill>
    </dxf>
    <dxf>
      <numFmt numFmtId="19" formatCode="dd/mm/yyyy"/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oberta Yokomizo" id="{DED98482-3879-42E0-B2AA-12152B714043}" userId="S::roberta.yokomizo@hypera.com.br::759c4aff-571c-45b6-97cd-3e4513b8702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3FA94F-BBE6-4B32-8E3E-7BA33A8EFE36}" name="Tabela1" displayName="Tabela1" ref="A1:L82" totalsRowShown="0" headerRowDxfId="110" dataDxfId="109">
  <autoFilter ref="A1:L82" xr:uid="{A33FA94F-BBE6-4B32-8E3E-7BA33A8EFE3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8B73F8FA-FDD6-4FBD-BC98-02B32388248E}" name="ID_Orcamento /Ordem (índice)" dataDxfId="108"/>
    <tableColumn id="2" xr3:uid="{7071C2E9-4991-44C7-A1DF-EBC127277B1D}" name="Data (use sempre dia 1)" dataDxfId="107"/>
    <tableColumn id="3" xr3:uid="{192BB1F6-ECA9-486F-B9FF-34D366F4AA53}" name="Data fim" dataDxfId="106"/>
    <tableColumn id="4" xr3:uid="{53958E07-3E06-4CFB-8DD3-E5C4A8C59E7B}" name="Data_faturamento" dataDxfId="105"/>
    <tableColumn id="5" xr3:uid="{1175A13E-386F-465A-A9D7-8C84635B37F4}" name="Serviço" dataDxfId="104"/>
    <tableColumn id="6" xr3:uid="{9AA5F4D3-B438-418B-8B93-2892527E6625}" name="Descrição" dataDxfId="103"/>
    <tableColumn id="7" xr3:uid="{F933FCFD-A053-49AB-B944-7699509C4301}" name="Responsável" dataDxfId="102"/>
    <tableColumn id="8" xr3:uid="{8E30A7B3-F097-4E26-979D-00968C6C5204}" name="Solicitado por" dataDxfId="101"/>
    <tableColumn id="9" xr3:uid="{F60A360C-7FDA-41BE-93BB-203DC5F61ED5}" name="Valor_Orcado" dataDxfId="100" dataCellStyle="Vírgula"/>
    <tableColumn id="10" xr3:uid="{B507E82A-2EAA-4CEC-9AD0-D0E27E4330A4}" name="ID_Conta" dataDxfId="99"/>
    <tableColumn id="11" xr3:uid="{7EFEE21E-806B-41BC-8527-5FCDB36F9E04}" name="Status" dataDxfId="98"/>
    <tableColumn id="12" xr3:uid="{515DD311-AC9D-4A2F-B0D9-77F1431906C0}" name="Obs" dataDxfId="9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49C0DF-64DB-4BC1-8B42-EF1EFC335B6A}" name="Tabela2" displayName="Tabela2" ref="A1:M33" totalsRowShown="0" headerRowDxfId="82" dataDxfId="81">
  <autoFilter ref="A1:M33" xr:uid="{AC49C0DF-64DB-4BC1-8B42-EF1EFC335B6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C0257142-D63F-4534-B73F-427E4811EF4A}" name="ID Fornecedor" dataDxfId="80"/>
    <tableColumn id="2" xr3:uid="{B97D42FE-777A-4D91-8D53-54B56475AE95}" name="FORNECEDOR" dataDxfId="79"/>
    <tableColumn id="3" xr3:uid="{DA12AF6C-856B-475E-A4FB-F9FDF01A21F7}" name="ID Item Planejado" dataDxfId="78"/>
    <tableColumn id="4" xr3:uid="{22C0CE14-B55D-4497-A819-E329E308B6DB}" name="Item Planejado" dataDxfId="77"/>
    <tableColumn id="5" xr3:uid="{2AAF805F-4AE7-4E8C-8E3E-483C7A87FF2A}" name="ID_Orcamento /Ordem (índice)" dataDxfId="76"/>
    <tableColumn id="6" xr3:uid="{A21B1727-334F-4929-AC80-AE3015B48A0D}" name="Data_Competência" dataDxfId="75"/>
    <tableColumn id="7" xr3:uid="{6B306C16-2987-455E-922F-0D8C2A78BDDA}" name="Data_faturamento" dataDxfId="74"/>
    <tableColumn id="8" xr3:uid="{51A8EAD7-C5F5-42B5-9C87-34F3C279605F}" name="Preço" dataDxfId="73"/>
    <tableColumn id="9" xr3:uid="{B17AE98F-7D4F-48E0-AFF3-0544C7C2AA4A}" name="Observação" dataDxfId="72"/>
    <tableColumn id="10" xr3:uid="{A61140AE-41A9-4A5D-8028-7C7AB6C040ED}" name="É DESPESA ANTECIPADA" dataDxfId="71"/>
    <tableColumn id="11" xr3:uid="{1A71F622-C499-4FB8-84E6-D071FB2EE848}" name="RATEIO" dataDxfId="70"/>
    <tableColumn id="12" xr3:uid="{D2126A5F-A15A-4726-AAA7-5DFFC3261067}" name="PROPOSTA" dataDxfId="69"/>
    <tableColumn id="13" xr3:uid="{94628D3A-274B-46AE-BCBF-910F7D1324EB}" name="PRODUTO" dataDxfId="68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E5EAD1-21F0-4385-BB8B-4C0510E6CB0C}" name="Tabela5" displayName="Tabela5" ref="A1:U32" totalsRowShown="0" headerRowDxfId="55" tableBorderDxfId="54">
  <autoFilter ref="A1:U32" xr:uid="{BBE5EAD1-21F0-4385-BB8B-4C0510E6CB0C}"/>
  <tableColumns count="21">
    <tableColumn id="1" xr3:uid="{C4514DB2-1BDB-42F8-854D-39BC82B2D9D5}" name="ID_Conta" dataDxfId="53"/>
    <tableColumn id="2" xr3:uid="{3C6FBF00-6666-4DB7-A8CA-88DD84883BC8}" name="ID_Contrato" dataDxfId="52"/>
    <tableColumn id="3" xr3:uid="{C641CE30-E87F-428C-8E8D-674EF74A98B0}" name="ID_Item_Contrato" dataDxfId="51"/>
    <tableColumn id="4" xr3:uid="{D29F43F9-2B03-4303-9256-31E07768D141}" name="Objeto do contrato" dataDxfId="50"/>
    <tableColumn id="5" xr3:uid="{EA9501C0-003A-4E89-BFAD-99A135C5F317}" name="ID Item Planejado" dataDxfId="49"/>
    <tableColumn id="6" xr3:uid="{D8447B9F-8766-450A-BC32-A0443C7142E1}" name="ID_Orcamento /Ordem (índice)" dataDxfId="48"/>
    <tableColumn id="7" xr3:uid="{129F3B54-A506-43D3-BB18-1DCAD6365C78}" name="FORNECEDOR" dataDxfId="47"/>
    <tableColumn id="8" xr3:uid="{CDFE5857-9184-4C71-86EF-660D799D5221}" name="ID REF DO FORNECEDOR" dataDxfId="46"/>
    <tableColumn id="9" xr3:uid="{E020DF27-DC2A-4C37-BB56-461D0DF2DE38}" name="NF" dataDxfId="45"/>
    <tableColumn id="10" xr3:uid="{155ADCA7-D97B-421C-81A9-F5C5094EE5F7}" name="TASK RC" dataDxfId="44"/>
    <tableColumn id="11" xr3:uid="{37B7C162-0B4F-4CA5-9522-50361A1E7380}" name="RC" dataDxfId="43"/>
    <tableColumn id="12" xr3:uid="{4543E25D-34E8-40D7-BE4E-3E1B1DAB06FF}" name="PO" dataDxfId="42"/>
    <tableColumn id="13" xr3:uid="{0590F12B-6B8E-40EA-B98C-3ACF3B0A726C}" name="FOLHA DE SERVIÇO" dataDxfId="41"/>
    <tableColumn id="14" xr3:uid="{49D2061B-44E3-4D54-B3AD-EF90F3F3EFAA}" name="PROPOSTA" dataDxfId="40"/>
    <tableColumn id="15" xr3:uid="{CC2E0E76-EF42-480C-9067-792C6A27A672}" name="PRODUTO" dataDxfId="39"/>
    <tableColumn id="16" xr3:uid="{EE05FE5F-C4B2-4035-B39E-C363B7EDE066}" name="É DESPESA ANTECIPADA" dataDxfId="38"/>
    <tableColumn id="17" xr3:uid="{9A2B637C-CCBB-45A0-80BB-51924BE6DCBF}" name="RATEIO" dataDxfId="37"/>
    <tableColumn id="18" xr3:uid="{1B37A5AB-7897-48F1-A9D7-E3B0AFF5E0CA}" name="Data de Competência" dataDxfId="36"/>
    <tableColumn id="19" xr3:uid="{46D909DC-17F6-435D-9119-59328FCDAABB}" name="Valor pago" dataDxfId="35" dataCellStyle="Vírgula"/>
    <tableColumn id="20" xr3:uid="{DB0D6817-7B79-4696-9288-409E7C70DD91}" name="Data de Pagamento Real" dataDxfId="34"/>
    <tableColumn id="21" xr3:uid="{EBD1E5DC-91E4-4106-8513-1792B991DFCB}" name="Observação" dataDxfId="33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C5CE7C-818F-42D2-98F8-A96E2ECCF879}" name="Tabela4" displayName="Tabela4" ref="A2:AC20" totalsRowShown="0" headerRowDxfId="30" dataDxfId="29">
  <autoFilter ref="A2:AC20" xr:uid="{A4C5CE7C-818F-42D2-98F8-A96E2ECCF879}"/>
  <tableColumns count="29">
    <tableColumn id="1" xr3:uid="{4A177452-5C44-478A-8995-8801E6A33C3E}" name="ID_contrato_elaw" dataDxfId="28"/>
    <tableColumn id="2" xr3:uid="{BF0F0B5D-DD6E-49D3-9A00-40ED4FF42B7C}" name="fornecedor" dataDxfId="27"/>
    <tableColumn id="3" xr3:uid="{C5DF23E4-9E39-4EE7-B990-F8EEEA051894}" name="CNPJ_Fornecedor" dataDxfId="26"/>
    <tableColumn id="4" xr3:uid="{07704D67-82C2-4FB8-A737-2E77B0B4A808}" name="Contratante" dataDxfId="25"/>
    <tableColumn id="5" xr3:uid="{8A109A4F-A66C-443C-A798-06041613DD80}" name="CNPJ_Contratante" dataDxfId="24"/>
    <tableColumn id="6" xr3:uid="{C19043E3-0E88-4482-87A2-B143A20B3EF8}" name="PROPOSTA" dataDxfId="23"/>
    <tableColumn id="7" xr3:uid="{D90FB652-EDC2-4DBC-8992-EC71FAFEE79C}" name="Data inicio_contrato" dataDxfId="22"/>
    <tableColumn id="8" xr3:uid="{44F5C0FB-02E9-4978-A70D-89DC91EBF8B3}" name="Data fim_contrato" dataDxfId="21"/>
    <tableColumn id="9" xr3:uid="{8CFD9BA5-7215-4F21-9C60-D53F88ACE8B5}" name="Indice_Reajuste" dataDxfId="20"/>
    <tableColumn id="10" xr3:uid="{016FA136-130B-4816-912E-E5556261ED39}" name="ID_Item_Contrato" dataDxfId="19"/>
    <tableColumn id="11" xr3:uid="{BC5ED256-7C06-4B30-8DC0-06D0E07614D6}" name="Item do contrato" dataDxfId="18"/>
    <tableColumn id="12" xr3:uid="{68934F0A-1E6D-49E7-9CCC-46FA6B221B0B}" name="PRODUTO" dataDxfId="17"/>
    <tableColumn id="13" xr3:uid="{94F0E26E-9EC3-41FA-9642-EE1F5214328A}" name="ID Item Planejado" dataDxfId="16"/>
    <tableColumn id="14" xr3:uid="{459DA916-9CD1-41D5-8FF8-772ACEA60BC9}" name="Data inicio_item" dataDxfId="15"/>
    <tableColumn id="15" xr3:uid="{8E3DB61C-9C81-4504-80AE-69A7B3DC4640}" name="Data fim_item" dataDxfId="14"/>
    <tableColumn id="16" xr3:uid="{29F47B82-41D5-42F5-919B-33335700C223}" name="Tempo_item_contrato" dataDxfId="13"/>
    <tableColumn id="17" xr3:uid="{28470D6B-13D3-4C43-B860-556D2FD80BA2}" name="Qtd_item" dataDxfId="12"/>
    <tableColumn id="18" xr3:uid="{04D47DF5-7024-4935-9822-50324D054D1C}" name="unid_medida" dataDxfId="11"/>
    <tableColumn id="19" xr3:uid="{915B4D24-9BF9-493C-AC0A-888389396F6A}" name="Preco_unit" dataDxfId="10" dataCellStyle="Vírgula"/>
    <tableColumn id="20" xr3:uid="{E5A92564-CCC3-4FDB-902C-5267B34F73E8}" name="Valor_total_sem_imposto" dataDxfId="9" dataCellStyle="Vírgula">
      <calculatedColumnFormula>Q3*S3*P3</calculatedColumnFormula>
    </tableColumn>
    <tableColumn id="21" xr3:uid="{7D8037A9-4D4B-45CD-B5EC-49BDDC50EA4A}" name="Valor_perc_cobrado_fornec" dataDxfId="8" dataCellStyle="Vírgula"/>
    <tableColumn id="22" xr3:uid="{2239E3B6-64AC-4ABC-BB99-CBE77F07F51A}" name="Valor_base_calculo_imposto" dataDxfId="7" dataCellStyle="Vírgula">
      <calculatedColumnFormula>T3/U3</calculatedColumnFormula>
    </tableColumn>
    <tableColumn id="23" xr3:uid="{CE972AFB-EAE2-48A4-BFF9-4D33C8E79B95}" name="Perc_tributos" dataDxfId="6" dataCellStyle="Vírgula"/>
    <tableColumn id="24" xr3:uid="{E6A3169A-59BB-4FF5-9106-8183C9E0F38C}" name="Valor_tributos" dataDxfId="5" dataCellStyle="Vírgula">
      <calculatedColumnFormula>V3*W3</calculatedColumnFormula>
    </tableColumn>
    <tableColumn id="25" xr3:uid="{C493919F-0768-4244-BBE4-1C51AB02047C}" name="Valor_total_bruto_item" dataDxfId="4" dataCellStyle="Vírgula">
      <calculatedColumnFormula>T3+X3</calculatedColumnFormula>
    </tableColumn>
    <tableColumn id="26" xr3:uid="{8781D8C6-4E17-42C3-A68B-E4E884F54632}" name="tipo de cobrança" dataDxfId="3"/>
    <tableColumn id="27" xr3:uid="{BCC8FDAE-3635-4446-8381-5A5D736812F5}" name="Valor consumido" dataDxfId="2"/>
    <tableColumn id="28" xr3:uid="{A6277D40-92F0-48AB-B928-82CF7D5471D2}" name="ID_Orcamento /Ordem (índice)" dataDxfId="1"/>
    <tableColumn id="29" xr3:uid="{1298F5E4-4440-4514-8386-54C8032C3C1B}" name="Observação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281468-1351-4BC9-9890-94F52A2EB0FA}" name="Tabela3" displayName="Tabela3" ref="A1:F4" totalsRowShown="0">
  <autoFilter ref="A1:F4" xr:uid="{99281468-1351-4BC9-9890-94F52A2EB0FA}"/>
  <tableColumns count="6">
    <tableColumn id="1" xr3:uid="{07A9C495-C737-4FDE-AE98-0C8162FC254C}" name="ID Fornecedor"/>
    <tableColumn id="2" xr3:uid="{D5F6544E-933A-45CA-9684-E9ACC101D434}" name="FORNECEDOR"/>
    <tableColumn id="3" xr3:uid="{5E103936-BE96-477D-9BD4-D1939F26A202}" name="CNPJ_Fornecedor"/>
    <tableColumn id="4" xr3:uid="{844065B8-902E-4405-9BD0-F6619C5D943E}" name="Endereço"/>
    <tableColumn id="5" xr3:uid="{81C2FFCD-3A0C-46AC-8F53-745E0CCE83DC}" name="Cidade"/>
    <tableColumn id="6" xr3:uid="{92A504CD-930F-4451-B89A-276127AE7C8C}" name="Estado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5-09-15T19:00:14.97" personId="{DED98482-3879-42E0-B2AA-12152B714043}" id="{EA81FFFE-90CF-4AE5-B47B-049BA57CE6AC}">
    <text>Avaliar (pois tabela será opcional)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1" dT="2025-09-23T17:13:40.74" personId="{DED98482-3879-42E0-B2AA-12152B714043}" id="{1C8ABB40-6865-4734-A23F-7B2DE78925E7}">
    <text>Material / Serviço  (Ser tratado de forma genérica)</text>
  </threadedComment>
  <threadedComment ref="D1" dT="2025-09-23T17:14:04.46" personId="{DED98482-3879-42E0-B2AA-12152B714043}" id="{DECF81D1-FD21-4E6A-8A7A-5D8CE94199B0}">
    <text>Material / Serviço  (Ser tratado de forma genérica)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J2" dT="2025-09-23T17:14:28.48" personId="{DED98482-3879-42E0-B2AA-12152B714043}" id="{1B080A55-6D89-4B9D-BCD1-13387AA4F01E}">
    <text>Material / Serviço  (Ser tratado de forma genérica)</text>
  </threadedComment>
  <threadedComment ref="K2" dT="2025-09-23T17:14:34.49" personId="{DED98482-3879-42E0-B2AA-12152B714043}" id="{70BE6BB5-6441-4962-B109-9E639F391770}">
    <text>Material / Serviço  (Ser tratado de forma genérica)</text>
  </threadedComment>
  <threadedComment ref="U2" dT="2025-10-08T17:51:11.19" personId="{DED98482-3879-42E0-B2AA-12152B714043}" id="{4A4AD843-D255-4F75-979C-5E281BE3F5ED}">
    <text>Percentual cobrado para pagto de imposto pelo fornecedor</text>
  </threadedComment>
  <threadedComment ref="V2" dT="2025-10-08T17:54:08.08" personId="{DED98482-3879-42E0-B2AA-12152B714043}" id="{34A5019A-15F3-48A9-A72E-8A91D3B013B5}">
    <text>Fórmula = Valor_total_sem_imposto / Valor_perc_cobrado_fornec</text>
  </threadedComment>
  <threadedComment ref="X2" dT="2025-10-08T17:55:11.35" personId="{DED98482-3879-42E0-B2AA-12152B714043}" id="{BA08EFA6-C85B-4D5A-98D0-D9E05578A180}">
    <text>Valor_cobrado_fornecedor*Perc_tributos</text>
  </threadedComment>
  <threadedComment ref="AA2" dT="2025-09-15T19:15:28.42" personId="{DED98482-3879-42E0-B2AA-12152B714043}" id="{295075F2-201B-4447-BC46-DDCCBC4A4156}">
    <text>Adicionar campo (verificar pelo campo realizado</text>
  </threadedComment>
  <threadedComment ref="W7" dT="2025-10-08T15:30:00.58" personId="{DED98482-3879-42E0-B2AA-12152B714043}" id="{7D39F5DD-B401-4C51-B972-70A6C6B4AFBB}">
    <text xml:space="preserve">Beatriz Mantovani informou em Tributos de licenças é 12,15% e tributos de serviço (linha do suporte premier) é 6,55%.
imposto é sempre calculado por dentro, ou seja, licenças vc divide por 0.8785 e serviços vc divide por 0.9345
</text>
  </threadedComment>
  <threadedComment ref="W8" dT="2025-10-08T15:30:00.58" personId="{DED98482-3879-42E0-B2AA-12152B714043}" id="{FAFF565A-73F6-42CB-AD95-298F625F9A59}">
    <text xml:space="preserve">Beatriz Mantovani informou em Tributos de licenças é 12,15% e tributos de serviço (linha do suporte premier) é 6,55%.
imposto é sempre calculado por dentro, ou seja, licenças vc divide por 0.8785 e serviços vc divide por 0.9345
</text>
  </threadedComment>
  <threadedComment ref="W9" dT="2025-10-08T15:30:00.58" personId="{DED98482-3879-42E0-B2AA-12152B714043}" id="{E09E1FA8-77AD-45AE-9948-9B9AB05BF8C6}">
    <text xml:space="preserve">Beatriz Mantovani informou em Tributos de licenças é 12,15% e tributos de serviço (linha do suporte premier) é 6,55%.
imposto é sempre calculado por dentro, ou seja, licenças vc divide por 0.8785 e serviços vc divide por 0.9345
</text>
  </threadedComment>
  <threadedComment ref="W10" dT="2025-10-08T15:30:00.58" personId="{DED98482-3879-42E0-B2AA-12152B714043}" id="{49E9BE08-213C-4B2E-90B1-E3F2A503A3E4}">
    <text xml:space="preserve">Beatriz Mantovani informou em Tributos de licenças é 12,15% e tributos de serviço (linha do suporte premier) é 6,55%.
imposto é sempre calculado por dentro, ou seja, licenças vc divide por 0.8785 e serviços vc divide por 0.9345
</text>
  </threadedComment>
  <threadedComment ref="W11" dT="2025-10-08T15:30:00.58" personId="{DED98482-3879-42E0-B2AA-12152B714043}" id="{C125AF0E-D88A-44A9-A415-2AFC15CBBD04}">
    <text xml:space="preserve">Beatriz Mantovani informou em Tributos de licenças é 12,15% e tributos de serviço (linha do suporte premier) é 6,55%.
imposto é sempre calculado por dentro, ou seja, licenças vc divide por 0.8785 e serviços vc divide por 0.9345
</text>
  </threadedComment>
  <threadedComment ref="W12" dT="2025-10-08T15:30:00.58" personId="{DED98482-3879-42E0-B2AA-12152B714043}" id="{343DA234-D31A-4ACF-A11C-F6874D3FE453}">
    <text xml:space="preserve">Beatriz Mantovani informou em Tributos de licenças é 12,15% e tributos de serviço (linha do suporte premier) é 6,55%.
imposto é sempre calculado por dentro, ou seja, licenças vc divide por 0.8785 e serviços vc divide por 0.9345
</text>
  </threadedComment>
  <threadedComment ref="W13" dT="2025-10-08T15:30:00.58" personId="{DED98482-3879-42E0-B2AA-12152B714043}" id="{5781E8A3-FD0E-4A48-B93C-C4D2EA38E1E0}">
    <text xml:space="preserve">Beatriz Mantovani informou em Tributos de licenças é 12,15% e tributos de serviço (linha do suporte premier) é 6,55%.
imposto é sempre calculado por dentro, ou seja, licenças vc divide por 0.8785 e serviços vc divide por 0.9345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3" dT="2025-09-15T13:50:15.44" personId="{DED98482-3879-42E0-B2AA-12152B714043}" id="{EAC1F8B1-A9C1-4ABE-A0DB-174164B3B653}">
    <text>Pode ser dos tipos:
- CAPEX (Externo) - Software
- CAPEX (Externo) - Hardware
- CAPEX (Interno) - Recursos Internos
- OPEX - Locação / Consultorias / Suporte Informática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52" dT="2025-09-15T19:15:28.42" personId="{DED98482-3879-42E0-B2AA-12152B714043}" id="{52E9A936-4725-4117-8399-60135600F66A}">
    <text>Adicionar campo (verificar pelo campo realizado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D2E3C-7566-4A57-96EE-135047840DD2}">
  <dimension ref="A1:L82"/>
  <sheetViews>
    <sheetView topLeftCell="A67" workbookViewId="0">
      <selection activeCell="E83" sqref="E83"/>
    </sheetView>
  </sheetViews>
  <sheetFormatPr defaultRowHeight="15" customHeight="1"/>
  <cols>
    <col min="1" max="1" width="6.85546875" customWidth="1"/>
    <col min="2" max="2" width="13.140625" customWidth="1"/>
    <col min="3" max="3" width="11.42578125" customWidth="1"/>
    <col min="4" max="4" width="14.140625" customWidth="1"/>
    <col min="5" max="5" width="33" bestFit="1" customWidth="1"/>
    <col min="6" max="6" width="46.140625" bestFit="1" customWidth="1"/>
    <col min="7" max="8" width="21.28515625" customWidth="1"/>
    <col min="9" max="9" width="15.5703125" bestFit="1" customWidth="1"/>
    <col min="10" max="10" width="11.5703125" bestFit="1" customWidth="1"/>
  </cols>
  <sheetData>
    <row r="1" spans="1:12" ht="14.4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t="s">
        <v>10</v>
      </c>
      <c r="L1" t="s">
        <v>11</v>
      </c>
    </row>
    <row r="2" spans="1:12" ht="15" customHeight="1">
      <c r="A2">
        <v>32</v>
      </c>
      <c r="B2" s="2">
        <v>45658</v>
      </c>
      <c r="C2" s="2">
        <v>46022</v>
      </c>
      <c r="D2" s="2">
        <v>45748</v>
      </c>
      <c r="E2" t="s">
        <v>12</v>
      </c>
      <c r="F2" t="s">
        <v>13</v>
      </c>
      <c r="G2" t="s">
        <v>14</v>
      </c>
      <c r="H2" t="s">
        <v>15</v>
      </c>
      <c r="I2" s="38">
        <v>103430.40322246356</v>
      </c>
    </row>
    <row r="3" spans="1:12" ht="15" customHeight="1">
      <c r="A3">
        <v>32</v>
      </c>
      <c r="B3" s="2">
        <v>45658</v>
      </c>
      <c r="C3" s="2">
        <v>46022</v>
      </c>
      <c r="D3" s="2">
        <v>45778</v>
      </c>
      <c r="E3" t="s">
        <v>12</v>
      </c>
      <c r="F3" t="s">
        <v>13</v>
      </c>
      <c r="G3" t="s">
        <v>14</v>
      </c>
      <c r="H3" t="s">
        <v>15</v>
      </c>
      <c r="I3" s="38">
        <v>103430.40322246356</v>
      </c>
    </row>
    <row r="4" spans="1:12" ht="15" customHeight="1">
      <c r="A4">
        <v>32</v>
      </c>
      <c r="B4" s="2">
        <v>45658</v>
      </c>
      <c r="C4" s="2">
        <v>46022</v>
      </c>
      <c r="D4" s="2">
        <v>45809</v>
      </c>
      <c r="E4" t="s">
        <v>12</v>
      </c>
      <c r="F4" t="s">
        <v>13</v>
      </c>
      <c r="G4" t="s">
        <v>14</v>
      </c>
      <c r="H4" t="s">
        <v>15</v>
      </c>
      <c r="I4" s="38">
        <v>103430.40322246356</v>
      </c>
    </row>
    <row r="5" spans="1:12" ht="15" customHeight="1">
      <c r="A5">
        <v>32</v>
      </c>
      <c r="B5" s="2">
        <v>45658</v>
      </c>
      <c r="C5" s="2">
        <v>46022</v>
      </c>
      <c r="D5" s="2">
        <v>45839</v>
      </c>
      <c r="E5" t="s">
        <v>12</v>
      </c>
      <c r="F5" t="s">
        <v>13</v>
      </c>
      <c r="G5" t="s">
        <v>14</v>
      </c>
      <c r="H5" t="s">
        <v>15</v>
      </c>
      <c r="I5" s="38">
        <v>103430.40322246356</v>
      </c>
    </row>
    <row r="6" spans="1:12" ht="15" customHeight="1">
      <c r="A6">
        <v>32</v>
      </c>
      <c r="B6" s="2">
        <v>45658</v>
      </c>
      <c r="C6" s="2">
        <v>46022</v>
      </c>
      <c r="D6" s="2">
        <v>45870</v>
      </c>
      <c r="E6" t="s">
        <v>12</v>
      </c>
      <c r="F6" t="s">
        <v>13</v>
      </c>
      <c r="G6" t="s">
        <v>14</v>
      </c>
      <c r="H6" t="s">
        <v>15</v>
      </c>
      <c r="I6" s="38">
        <v>103430.40322246356</v>
      </c>
    </row>
    <row r="7" spans="1:12" ht="15" customHeight="1">
      <c r="A7">
        <v>32</v>
      </c>
      <c r="B7" s="2">
        <v>45658</v>
      </c>
      <c r="C7" s="2">
        <v>46022</v>
      </c>
      <c r="D7" s="2">
        <v>45901</v>
      </c>
      <c r="E7" t="s">
        <v>12</v>
      </c>
      <c r="F7" t="s">
        <v>13</v>
      </c>
      <c r="G7" t="s">
        <v>14</v>
      </c>
      <c r="H7" t="s">
        <v>15</v>
      </c>
      <c r="I7" s="38">
        <v>103430.40322246356</v>
      </c>
    </row>
    <row r="8" spans="1:12" ht="15" customHeight="1">
      <c r="A8">
        <v>32</v>
      </c>
      <c r="B8" s="2">
        <v>45658</v>
      </c>
      <c r="C8" s="2">
        <v>46022</v>
      </c>
      <c r="D8" s="2">
        <v>45931</v>
      </c>
      <c r="E8" t="s">
        <v>12</v>
      </c>
      <c r="F8" t="s">
        <v>13</v>
      </c>
      <c r="G8" t="s">
        <v>14</v>
      </c>
      <c r="H8" t="s">
        <v>15</v>
      </c>
      <c r="I8" s="38">
        <v>103430.40322246356</v>
      </c>
    </row>
    <row r="9" spans="1:12" ht="15" customHeight="1">
      <c r="A9">
        <v>32</v>
      </c>
      <c r="B9" s="2">
        <v>45658</v>
      </c>
      <c r="C9" s="2">
        <v>46022</v>
      </c>
      <c r="D9" s="2">
        <v>45962</v>
      </c>
      <c r="E9" t="s">
        <v>12</v>
      </c>
      <c r="F9" t="s">
        <v>13</v>
      </c>
      <c r="G9" t="s">
        <v>14</v>
      </c>
      <c r="H9" t="s">
        <v>15</v>
      </c>
      <c r="I9" s="38">
        <v>103430.40322246356</v>
      </c>
    </row>
    <row r="10" spans="1:12" ht="15" customHeight="1">
      <c r="A10">
        <v>32</v>
      </c>
      <c r="B10" s="2">
        <v>45658</v>
      </c>
      <c r="C10" s="2">
        <v>46022</v>
      </c>
      <c r="D10" s="2">
        <v>45992</v>
      </c>
      <c r="E10" t="s">
        <v>12</v>
      </c>
      <c r="F10" t="s">
        <v>13</v>
      </c>
      <c r="G10" t="s">
        <v>14</v>
      </c>
      <c r="H10" t="s">
        <v>15</v>
      </c>
      <c r="I10" s="38">
        <v>103430.40322246356</v>
      </c>
    </row>
    <row r="11" spans="1:12" ht="15" customHeight="1">
      <c r="A11">
        <v>88</v>
      </c>
      <c r="B11" s="2">
        <v>45658</v>
      </c>
      <c r="C11" s="2">
        <v>46022</v>
      </c>
      <c r="D11" s="2">
        <v>45748</v>
      </c>
      <c r="E11" t="s">
        <v>12</v>
      </c>
      <c r="F11" t="s">
        <v>16</v>
      </c>
      <c r="G11" t="s">
        <v>14</v>
      </c>
      <c r="H11" t="s">
        <v>15</v>
      </c>
      <c r="I11" s="38">
        <v>23750</v>
      </c>
    </row>
    <row r="12" spans="1:12" ht="15" customHeight="1">
      <c r="A12">
        <v>88</v>
      </c>
      <c r="B12" s="2">
        <v>45658</v>
      </c>
      <c r="C12" s="2">
        <v>46022</v>
      </c>
      <c r="D12" s="2">
        <v>45778</v>
      </c>
      <c r="E12" t="s">
        <v>12</v>
      </c>
      <c r="F12" t="s">
        <v>16</v>
      </c>
      <c r="G12" t="s">
        <v>14</v>
      </c>
      <c r="H12" t="s">
        <v>15</v>
      </c>
      <c r="I12" s="38">
        <v>23750</v>
      </c>
    </row>
    <row r="13" spans="1:12" ht="15" customHeight="1">
      <c r="A13">
        <v>88</v>
      </c>
      <c r="B13" s="2">
        <v>45658</v>
      </c>
      <c r="C13" s="2">
        <v>46022</v>
      </c>
      <c r="D13" s="2">
        <v>45809</v>
      </c>
      <c r="E13" t="s">
        <v>12</v>
      </c>
      <c r="F13" t="s">
        <v>16</v>
      </c>
      <c r="G13" t="s">
        <v>14</v>
      </c>
      <c r="H13" t="s">
        <v>15</v>
      </c>
      <c r="I13" s="38">
        <v>23750</v>
      </c>
    </row>
    <row r="14" spans="1:12" ht="15" customHeight="1">
      <c r="A14">
        <v>88</v>
      </c>
      <c r="B14" s="2">
        <v>45658</v>
      </c>
      <c r="C14" s="2">
        <v>46022</v>
      </c>
      <c r="D14" s="2">
        <v>45839</v>
      </c>
      <c r="E14" t="s">
        <v>12</v>
      </c>
      <c r="F14" t="s">
        <v>16</v>
      </c>
      <c r="G14" t="s">
        <v>14</v>
      </c>
      <c r="H14" t="s">
        <v>15</v>
      </c>
      <c r="I14" s="38">
        <v>23750</v>
      </c>
    </row>
    <row r="15" spans="1:12" ht="15" customHeight="1">
      <c r="A15">
        <v>88</v>
      </c>
      <c r="B15" s="2">
        <v>45658</v>
      </c>
      <c r="C15" s="2">
        <v>46022</v>
      </c>
      <c r="D15" s="2">
        <v>45870</v>
      </c>
      <c r="E15" t="s">
        <v>12</v>
      </c>
      <c r="F15" t="s">
        <v>16</v>
      </c>
      <c r="G15" t="s">
        <v>14</v>
      </c>
      <c r="H15" t="s">
        <v>15</v>
      </c>
      <c r="I15" s="38">
        <v>23750</v>
      </c>
    </row>
    <row r="16" spans="1:12" ht="15" customHeight="1">
      <c r="A16">
        <v>88</v>
      </c>
      <c r="B16" s="2">
        <v>45658</v>
      </c>
      <c r="C16" s="2">
        <v>46022</v>
      </c>
      <c r="D16" s="2">
        <v>45901</v>
      </c>
      <c r="E16" t="s">
        <v>12</v>
      </c>
      <c r="F16" t="s">
        <v>16</v>
      </c>
      <c r="G16" t="s">
        <v>14</v>
      </c>
      <c r="H16" t="s">
        <v>15</v>
      </c>
      <c r="I16" s="38">
        <v>23750</v>
      </c>
    </row>
    <row r="17" spans="1:9" ht="15" customHeight="1">
      <c r="A17">
        <v>88</v>
      </c>
      <c r="B17" s="2">
        <v>45658</v>
      </c>
      <c r="C17" s="2">
        <v>46022</v>
      </c>
      <c r="D17" s="2">
        <v>45931</v>
      </c>
      <c r="E17" t="s">
        <v>12</v>
      </c>
      <c r="F17" t="s">
        <v>16</v>
      </c>
      <c r="G17" t="s">
        <v>14</v>
      </c>
      <c r="H17" t="s">
        <v>15</v>
      </c>
      <c r="I17" s="38">
        <v>24700</v>
      </c>
    </row>
    <row r="18" spans="1:9" ht="15" customHeight="1">
      <c r="A18">
        <v>88</v>
      </c>
      <c r="B18" s="2">
        <v>45658</v>
      </c>
      <c r="C18" s="2">
        <v>46022</v>
      </c>
      <c r="D18" s="2">
        <v>45962</v>
      </c>
      <c r="E18" t="s">
        <v>12</v>
      </c>
      <c r="F18" t="s">
        <v>16</v>
      </c>
      <c r="G18" t="s">
        <v>14</v>
      </c>
      <c r="H18" t="s">
        <v>15</v>
      </c>
      <c r="I18" s="38">
        <v>24700</v>
      </c>
    </row>
    <row r="19" spans="1:9" ht="15" customHeight="1">
      <c r="A19">
        <v>88</v>
      </c>
      <c r="B19" s="2">
        <v>45658</v>
      </c>
      <c r="C19" s="2">
        <v>46022</v>
      </c>
      <c r="D19" s="2">
        <v>45992</v>
      </c>
      <c r="E19" t="s">
        <v>12</v>
      </c>
      <c r="F19" t="s">
        <v>16</v>
      </c>
      <c r="G19" t="s">
        <v>14</v>
      </c>
      <c r="H19" t="s">
        <v>15</v>
      </c>
      <c r="I19" s="38">
        <v>24700</v>
      </c>
    </row>
    <row r="20" spans="1:9" ht="15" customHeight="1">
      <c r="A20">
        <v>398</v>
      </c>
      <c r="B20" s="2">
        <v>45658</v>
      </c>
      <c r="C20" s="2">
        <v>46022</v>
      </c>
      <c r="D20" s="2">
        <v>45748</v>
      </c>
      <c r="E20" t="s">
        <v>12</v>
      </c>
      <c r="F20" t="s">
        <v>17</v>
      </c>
      <c r="G20" t="s">
        <v>14</v>
      </c>
      <c r="H20" t="s">
        <v>14</v>
      </c>
      <c r="I20" s="38">
        <v>0</v>
      </c>
    </row>
    <row r="21" spans="1:9" ht="15" customHeight="1">
      <c r="A21">
        <v>398</v>
      </c>
      <c r="B21" s="2">
        <v>45658</v>
      </c>
      <c r="C21" s="2">
        <v>46022</v>
      </c>
      <c r="D21" s="2">
        <v>45778</v>
      </c>
      <c r="E21" t="s">
        <v>12</v>
      </c>
      <c r="F21" t="s">
        <v>17</v>
      </c>
      <c r="G21" t="s">
        <v>14</v>
      </c>
      <c r="H21" t="s">
        <v>14</v>
      </c>
      <c r="I21" s="38">
        <v>0</v>
      </c>
    </row>
    <row r="22" spans="1:9" ht="15" customHeight="1">
      <c r="A22">
        <v>398</v>
      </c>
      <c r="B22" s="2">
        <v>45658</v>
      </c>
      <c r="C22" s="2">
        <v>46022</v>
      </c>
      <c r="D22" s="2">
        <v>45809</v>
      </c>
      <c r="E22" t="s">
        <v>12</v>
      </c>
      <c r="F22" t="s">
        <v>17</v>
      </c>
      <c r="G22" t="s">
        <v>14</v>
      </c>
      <c r="H22" t="s">
        <v>14</v>
      </c>
      <c r="I22" s="38">
        <v>0</v>
      </c>
    </row>
    <row r="23" spans="1:9" ht="15" customHeight="1">
      <c r="A23">
        <v>398</v>
      </c>
      <c r="B23" s="2">
        <v>45658</v>
      </c>
      <c r="C23" s="2">
        <v>46022</v>
      </c>
      <c r="D23" s="2">
        <v>45839</v>
      </c>
      <c r="E23" t="s">
        <v>12</v>
      </c>
      <c r="F23" t="s">
        <v>17</v>
      </c>
      <c r="G23" t="s">
        <v>14</v>
      </c>
      <c r="H23" t="s">
        <v>14</v>
      </c>
      <c r="I23" s="38">
        <v>9500</v>
      </c>
    </row>
    <row r="24" spans="1:9" ht="15" customHeight="1">
      <c r="A24">
        <v>398</v>
      </c>
      <c r="B24" s="2">
        <v>45658</v>
      </c>
      <c r="C24" s="2">
        <v>46022</v>
      </c>
      <c r="D24" s="2">
        <v>45870</v>
      </c>
      <c r="E24" t="s">
        <v>12</v>
      </c>
      <c r="F24" t="s">
        <v>17</v>
      </c>
      <c r="G24" t="s">
        <v>14</v>
      </c>
      <c r="H24" t="s">
        <v>14</v>
      </c>
      <c r="I24" s="38">
        <v>9500</v>
      </c>
    </row>
    <row r="25" spans="1:9" ht="15" customHeight="1">
      <c r="A25">
        <v>398</v>
      </c>
      <c r="B25" s="2">
        <v>45658</v>
      </c>
      <c r="C25" s="2">
        <v>46022</v>
      </c>
      <c r="D25" s="2">
        <v>45901</v>
      </c>
      <c r="E25" t="s">
        <v>12</v>
      </c>
      <c r="F25" t="s">
        <v>17</v>
      </c>
      <c r="G25" t="s">
        <v>14</v>
      </c>
      <c r="H25" t="s">
        <v>14</v>
      </c>
      <c r="I25" s="38">
        <v>9500</v>
      </c>
    </row>
    <row r="26" spans="1:9" ht="15" customHeight="1">
      <c r="A26">
        <v>398</v>
      </c>
      <c r="B26" s="2">
        <v>45658</v>
      </c>
      <c r="C26" s="2">
        <v>46022</v>
      </c>
      <c r="D26" s="2">
        <v>45931</v>
      </c>
      <c r="E26" t="s">
        <v>12</v>
      </c>
      <c r="F26" t="s">
        <v>17</v>
      </c>
      <c r="G26" t="s">
        <v>14</v>
      </c>
      <c r="H26" t="s">
        <v>14</v>
      </c>
      <c r="I26" s="38">
        <v>9500</v>
      </c>
    </row>
    <row r="27" spans="1:9" ht="15" customHeight="1">
      <c r="A27">
        <v>398</v>
      </c>
      <c r="B27" s="2">
        <v>45658</v>
      </c>
      <c r="C27" s="2">
        <v>46022</v>
      </c>
      <c r="D27" s="2">
        <v>45962</v>
      </c>
      <c r="E27" t="s">
        <v>12</v>
      </c>
      <c r="F27" t="s">
        <v>17</v>
      </c>
      <c r="G27" t="s">
        <v>14</v>
      </c>
      <c r="H27" t="s">
        <v>14</v>
      </c>
      <c r="I27" s="38">
        <v>9500</v>
      </c>
    </row>
    <row r="28" spans="1:9" ht="15" customHeight="1">
      <c r="A28">
        <v>398</v>
      </c>
      <c r="B28" s="2">
        <v>45658</v>
      </c>
      <c r="C28" s="2">
        <v>46022</v>
      </c>
      <c r="D28" s="2">
        <v>45992</v>
      </c>
      <c r="E28" t="s">
        <v>12</v>
      </c>
      <c r="F28" t="s">
        <v>17</v>
      </c>
      <c r="G28" t="s">
        <v>14</v>
      </c>
      <c r="H28" t="s">
        <v>14</v>
      </c>
      <c r="I28" s="38">
        <v>9500</v>
      </c>
    </row>
    <row r="29" spans="1:9" ht="15" customHeight="1">
      <c r="A29">
        <v>402</v>
      </c>
      <c r="B29" s="2">
        <v>45658</v>
      </c>
      <c r="C29" s="2">
        <v>46022</v>
      </c>
      <c r="D29" s="2">
        <v>45748</v>
      </c>
      <c r="E29" t="s">
        <v>18</v>
      </c>
      <c r="F29" t="s">
        <v>19</v>
      </c>
      <c r="G29" t="s">
        <v>14</v>
      </c>
      <c r="H29" t="s">
        <v>15</v>
      </c>
      <c r="I29" s="38">
        <v>24000</v>
      </c>
    </row>
    <row r="30" spans="1:9" ht="15" customHeight="1">
      <c r="A30">
        <v>402</v>
      </c>
      <c r="B30" s="2">
        <v>45658</v>
      </c>
      <c r="C30" s="2">
        <v>46022</v>
      </c>
      <c r="D30" s="2">
        <v>45778</v>
      </c>
      <c r="E30" t="s">
        <v>18</v>
      </c>
      <c r="F30" t="s">
        <v>19</v>
      </c>
      <c r="G30" t="s">
        <v>14</v>
      </c>
      <c r="H30" t="s">
        <v>15</v>
      </c>
      <c r="I30" s="38">
        <v>24000</v>
      </c>
    </row>
    <row r="31" spans="1:9" ht="15" customHeight="1">
      <c r="A31">
        <v>402</v>
      </c>
      <c r="B31" s="2">
        <v>45658</v>
      </c>
      <c r="C31" s="2">
        <v>46022</v>
      </c>
      <c r="D31" s="2">
        <v>45809</v>
      </c>
      <c r="E31" t="s">
        <v>18</v>
      </c>
      <c r="F31" t="s">
        <v>19</v>
      </c>
      <c r="G31" t="s">
        <v>14</v>
      </c>
      <c r="H31" t="s">
        <v>15</v>
      </c>
      <c r="I31" s="38">
        <v>24000</v>
      </c>
    </row>
    <row r="32" spans="1:9" ht="15" customHeight="1">
      <c r="A32">
        <v>402</v>
      </c>
      <c r="B32" s="2">
        <v>45658</v>
      </c>
      <c r="C32" s="2">
        <v>46022</v>
      </c>
      <c r="D32" s="2">
        <v>45839</v>
      </c>
      <c r="E32" t="s">
        <v>18</v>
      </c>
      <c r="F32" t="s">
        <v>19</v>
      </c>
      <c r="G32" t="s">
        <v>14</v>
      </c>
      <c r="H32" t="s">
        <v>15</v>
      </c>
      <c r="I32" s="38">
        <v>15000</v>
      </c>
    </row>
    <row r="33" spans="1:9" ht="15" customHeight="1">
      <c r="A33">
        <v>402</v>
      </c>
      <c r="B33" s="2">
        <v>45658</v>
      </c>
      <c r="C33" s="2">
        <v>46022</v>
      </c>
      <c r="D33" s="2">
        <v>45870</v>
      </c>
      <c r="E33" t="s">
        <v>18</v>
      </c>
      <c r="F33" t="s">
        <v>19</v>
      </c>
      <c r="G33" t="s">
        <v>14</v>
      </c>
      <c r="H33" t="s">
        <v>15</v>
      </c>
      <c r="I33" s="38">
        <v>15000</v>
      </c>
    </row>
    <row r="34" spans="1:9" ht="15" customHeight="1">
      <c r="A34">
        <v>402</v>
      </c>
      <c r="B34" s="2">
        <v>45658</v>
      </c>
      <c r="C34" s="2">
        <v>46022</v>
      </c>
      <c r="D34" s="2">
        <v>45901</v>
      </c>
      <c r="E34" t="s">
        <v>18</v>
      </c>
      <c r="F34" t="s">
        <v>19</v>
      </c>
      <c r="G34" t="s">
        <v>14</v>
      </c>
      <c r="H34" t="s">
        <v>15</v>
      </c>
      <c r="I34" s="38">
        <v>15000</v>
      </c>
    </row>
    <row r="35" spans="1:9" ht="15" customHeight="1">
      <c r="A35">
        <v>402</v>
      </c>
      <c r="B35" s="2">
        <v>45658</v>
      </c>
      <c r="C35" s="2">
        <v>46022</v>
      </c>
      <c r="D35" s="2">
        <v>45931</v>
      </c>
      <c r="E35" t="s">
        <v>18</v>
      </c>
      <c r="F35" t="s">
        <v>19</v>
      </c>
      <c r="G35" t="s">
        <v>14</v>
      </c>
      <c r="H35" t="s">
        <v>15</v>
      </c>
      <c r="I35" s="38">
        <v>15000</v>
      </c>
    </row>
    <row r="36" spans="1:9" ht="15" customHeight="1">
      <c r="A36">
        <v>402</v>
      </c>
      <c r="B36" s="2">
        <v>45658</v>
      </c>
      <c r="C36" s="2">
        <v>46022</v>
      </c>
      <c r="D36" s="2">
        <v>45962</v>
      </c>
      <c r="E36" t="s">
        <v>18</v>
      </c>
      <c r="F36" t="s">
        <v>19</v>
      </c>
      <c r="G36" t="s">
        <v>14</v>
      </c>
      <c r="H36" t="s">
        <v>15</v>
      </c>
      <c r="I36" s="38">
        <v>15000</v>
      </c>
    </row>
    <row r="37" spans="1:9" ht="15" customHeight="1">
      <c r="A37">
        <v>402</v>
      </c>
      <c r="B37" s="2">
        <v>45658</v>
      </c>
      <c r="C37" s="2">
        <v>46022</v>
      </c>
      <c r="D37" s="2">
        <v>45992</v>
      </c>
      <c r="E37" t="s">
        <v>18</v>
      </c>
      <c r="F37" t="s">
        <v>19</v>
      </c>
      <c r="G37" t="s">
        <v>14</v>
      </c>
      <c r="H37" t="s">
        <v>15</v>
      </c>
      <c r="I37" s="38">
        <v>15000</v>
      </c>
    </row>
    <row r="38" spans="1:9" ht="15" customHeight="1">
      <c r="A38">
        <v>403</v>
      </c>
      <c r="B38" s="2">
        <v>45658</v>
      </c>
      <c r="C38" s="2">
        <v>46022</v>
      </c>
      <c r="D38" s="2">
        <v>45748</v>
      </c>
      <c r="E38" t="s">
        <v>20</v>
      </c>
      <c r="F38" t="s">
        <v>21</v>
      </c>
      <c r="G38" t="s">
        <v>14</v>
      </c>
      <c r="H38" t="s">
        <v>14</v>
      </c>
      <c r="I38" s="38">
        <v>24000</v>
      </c>
    </row>
    <row r="39" spans="1:9" ht="15" customHeight="1">
      <c r="A39">
        <v>403</v>
      </c>
      <c r="B39" s="2">
        <v>45658</v>
      </c>
      <c r="C39" s="2">
        <v>46022</v>
      </c>
      <c r="D39" s="2">
        <v>45778</v>
      </c>
      <c r="E39" t="s">
        <v>20</v>
      </c>
      <c r="F39" t="s">
        <v>21</v>
      </c>
      <c r="G39" t="s">
        <v>14</v>
      </c>
      <c r="H39" t="s">
        <v>14</v>
      </c>
      <c r="I39" s="38">
        <v>24000</v>
      </c>
    </row>
    <row r="40" spans="1:9" ht="15" customHeight="1">
      <c r="A40">
        <v>403</v>
      </c>
      <c r="B40" s="2">
        <v>45658</v>
      </c>
      <c r="C40" s="2">
        <v>46022</v>
      </c>
      <c r="D40" s="2">
        <v>45809</v>
      </c>
      <c r="E40" t="s">
        <v>20</v>
      </c>
      <c r="F40" t="s">
        <v>21</v>
      </c>
      <c r="G40" t="s">
        <v>14</v>
      </c>
      <c r="H40" t="s">
        <v>14</v>
      </c>
      <c r="I40" s="38">
        <v>24000</v>
      </c>
    </row>
    <row r="41" spans="1:9" ht="15" customHeight="1">
      <c r="A41">
        <v>403</v>
      </c>
      <c r="B41" s="2">
        <v>45658</v>
      </c>
      <c r="C41" s="2">
        <v>46022</v>
      </c>
      <c r="D41" s="2">
        <v>45839</v>
      </c>
      <c r="E41" t="s">
        <v>20</v>
      </c>
      <c r="F41" t="s">
        <v>21</v>
      </c>
      <c r="G41" t="s">
        <v>14</v>
      </c>
      <c r="H41" t="s">
        <v>14</v>
      </c>
      <c r="I41" s="38">
        <v>15000</v>
      </c>
    </row>
    <row r="42" spans="1:9" ht="15" customHeight="1">
      <c r="A42">
        <v>403</v>
      </c>
      <c r="B42" s="2">
        <v>45658</v>
      </c>
      <c r="C42" s="2">
        <v>46022</v>
      </c>
      <c r="D42" s="2">
        <v>45870</v>
      </c>
      <c r="E42" t="s">
        <v>20</v>
      </c>
      <c r="F42" t="s">
        <v>21</v>
      </c>
      <c r="G42" t="s">
        <v>14</v>
      </c>
      <c r="H42" t="s">
        <v>14</v>
      </c>
      <c r="I42" s="38">
        <v>15000</v>
      </c>
    </row>
    <row r="43" spans="1:9" ht="15" customHeight="1">
      <c r="A43">
        <v>403</v>
      </c>
      <c r="B43" s="2">
        <v>45658</v>
      </c>
      <c r="C43" s="2">
        <v>46022</v>
      </c>
      <c r="D43" s="2">
        <v>45901</v>
      </c>
      <c r="E43" t="s">
        <v>20</v>
      </c>
      <c r="F43" t="s">
        <v>21</v>
      </c>
      <c r="G43" t="s">
        <v>14</v>
      </c>
      <c r="H43" t="s">
        <v>14</v>
      </c>
      <c r="I43" s="38">
        <v>15000</v>
      </c>
    </row>
    <row r="44" spans="1:9" ht="15" customHeight="1">
      <c r="A44">
        <v>403</v>
      </c>
      <c r="B44" s="2">
        <v>45658</v>
      </c>
      <c r="C44" s="2">
        <v>46022</v>
      </c>
      <c r="D44" s="2">
        <v>45931</v>
      </c>
      <c r="E44" t="s">
        <v>20</v>
      </c>
      <c r="F44" t="s">
        <v>21</v>
      </c>
      <c r="G44" t="s">
        <v>14</v>
      </c>
      <c r="H44" t="s">
        <v>14</v>
      </c>
      <c r="I44" s="38">
        <v>15000</v>
      </c>
    </row>
    <row r="45" spans="1:9" ht="15" customHeight="1">
      <c r="A45">
        <v>403</v>
      </c>
      <c r="B45" s="2">
        <v>45658</v>
      </c>
      <c r="C45" s="2">
        <v>46022</v>
      </c>
      <c r="D45" s="2">
        <v>45962</v>
      </c>
      <c r="E45" t="s">
        <v>20</v>
      </c>
      <c r="F45" t="s">
        <v>21</v>
      </c>
      <c r="G45" t="s">
        <v>14</v>
      </c>
      <c r="H45" t="s">
        <v>14</v>
      </c>
      <c r="I45" s="38">
        <v>15000</v>
      </c>
    </row>
    <row r="46" spans="1:9" ht="15" customHeight="1">
      <c r="A46">
        <v>403</v>
      </c>
      <c r="B46" s="2">
        <v>45658</v>
      </c>
      <c r="C46" s="2">
        <v>46022</v>
      </c>
      <c r="D46" s="2">
        <v>45992</v>
      </c>
      <c r="E46" t="s">
        <v>20</v>
      </c>
      <c r="F46" t="s">
        <v>21</v>
      </c>
      <c r="G46" t="s">
        <v>14</v>
      </c>
      <c r="H46" t="s">
        <v>14</v>
      </c>
      <c r="I46" s="38">
        <v>15000</v>
      </c>
    </row>
    <row r="47" spans="1:9" ht="15" customHeight="1">
      <c r="A47">
        <v>404</v>
      </c>
      <c r="B47" s="2">
        <v>45658</v>
      </c>
      <c r="C47" s="2">
        <v>46022</v>
      </c>
      <c r="D47" s="2">
        <v>45748</v>
      </c>
      <c r="E47" t="s">
        <v>12</v>
      </c>
      <c r="F47" t="s">
        <v>22</v>
      </c>
      <c r="G47" t="s">
        <v>14</v>
      </c>
      <c r="H47" t="s">
        <v>15</v>
      </c>
      <c r="I47" s="38">
        <v>31998.938444203115</v>
      </c>
    </row>
    <row r="48" spans="1:9" ht="15" customHeight="1">
      <c r="A48">
        <v>404</v>
      </c>
      <c r="B48" s="2">
        <v>45658</v>
      </c>
      <c r="C48" s="2">
        <v>46022</v>
      </c>
      <c r="D48" s="2">
        <v>45778</v>
      </c>
      <c r="E48" t="s">
        <v>12</v>
      </c>
      <c r="F48" t="s">
        <v>22</v>
      </c>
      <c r="G48" t="s">
        <v>14</v>
      </c>
      <c r="H48" t="s">
        <v>15</v>
      </c>
      <c r="I48" s="38">
        <v>31998.938444203115</v>
      </c>
    </row>
    <row r="49" spans="1:9" ht="15" customHeight="1">
      <c r="A49">
        <v>404</v>
      </c>
      <c r="B49" s="2">
        <v>45658</v>
      </c>
      <c r="C49" s="2">
        <v>46022</v>
      </c>
      <c r="D49" s="2">
        <v>45809</v>
      </c>
      <c r="E49" t="s">
        <v>12</v>
      </c>
      <c r="F49" t="s">
        <v>22</v>
      </c>
      <c r="G49" t="s">
        <v>14</v>
      </c>
      <c r="H49" t="s">
        <v>15</v>
      </c>
      <c r="I49" s="38">
        <v>31998.938444203115</v>
      </c>
    </row>
    <row r="50" spans="1:9" ht="15" customHeight="1">
      <c r="A50">
        <v>404</v>
      </c>
      <c r="B50" s="2">
        <v>45658</v>
      </c>
      <c r="C50" s="2">
        <v>46022</v>
      </c>
      <c r="D50" s="2">
        <v>45839</v>
      </c>
      <c r="E50" t="s">
        <v>12</v>
      </c>
      <c r="F50" t="s">
        <v>22</v>
      </c>
      <c r="G50" t="s">
        <v>14</v>
      </c>
      <c r="H50" t="s">
        <v>15</v>
      </c>
      <c r="I50" s="38">
        <v>31998.938444203115</v>
      </c>
    </row>
    <row r="51" spans="1:9" ht="15" customHeight="1">
      <c r="A51">
        <v>404</v>
      </c>
      <c r="B51" s="2">
        <v>45658</v>
      </c>
      <c r="C51" s="2">
        <v>46022</v>
      </c>
      <c r="D51" s="2">
        <v>45870</v>
      </c>
      <c r="E51" t="s">
        <v>12</v>
      </c>
      <c r="F51" t="s">
        <v>22</v>
      </c>
      <c r="G51" t="s">
        <v>14</v>
      </c>
      <c r="H51" t="s">
        <v>15</v>
      </c>
      <c r="I51" s="38">
        <v>31998.938444203115</v>
      </c>
    </row>
    <row r="52" spans="1:9" ht="15" customHeight="1">
      <c r="A52">
        <v>404</v>
      </c>
      <c r="B52" s="2">
        <v>45658</v>
      </c>
      <c r="C52" s="2">
        <v>46022</v>
      </c>
      <c r="D52" s="2">
        <v>45901</v>
      </c>
      <c r="E52" t="s">
        <v>12</v>
      </c>
      <c r="F52" t="s">
        <v>22</v>
      </c>
      <c r="G52" t="s">
        <v>14</v>
      </c>
      <c r="H52" t="s">
        <v>15</v>
      </c>
      <c r="I52" s="38">
        <v>31998.938444203115</v>
      </c>
    </row>
    <row r="53" spans="1:9" ht="15" customHeight="1">
      <c r="A53">
        <v>404</v>
      </c>
      <c r="B53" s="2">
        <v>45658</v>
      </c>
      <c r="C53" s="2">
        <v>46022</v>
      </c>
      <c r="D53" s="2">
        <v>45931</v>
      </c>
      <c r="E53" t="s">
        <v>12</v>
      </c>
      <c r="F53" t="s">
        <v>22</v>
      </c>
      <c r="G53" t="s">
        <v>14</v>
      </c>
      <c r="H53" t="s">
        <v>15</v>
      </c>
      <c r="I53" s="38">
        <v>31998.938444203115</v>
      </c>
    </row>
    <row r="54" spans="1:9" ht="15" customHeight="1">
      <c r="A54">
        <v>404</v>
      </c>
      <c r="B54" s="2">
        <v>45658</v>
      </c>
      <c r="C54" s="2">
        <v>46022</v>
      </c>
      <c r="D54" s="2">
        <v>45962</v>
      </c>
      <c r="E54" t="s">
        <v>12</v>
      </c>
      <c r="F54" t="s">
        <v>22</v>
      </c>
      <c r="G54" t="s">
        <v>14</v>
      </c>
      <c r="H54" t="s">
        <v>15</v>
      </c>
      <c r="I54" s="38">
        <v>31998.938444203115</v>
      </c>
    </row>
    <row r="55" spans="1:9" ht="15" customHeight="1">
      <c r="A55">
        <v>404</v>
      </c>
      <c r="B55" s="2">
        <v>45658</v>
      </c>
      <c r="C55" s="2">
        <v>46022</v>
      </c>
      <c r="D55" s="2">
        <v>45992</v>
      </c>
      <c r="E55" t="s">
        <v>12</v>
      </c>
      <c r="F55" t="s">
        <v>22</v>
      </c>
      <c r="G55" t="s">
        <v>14</v>
      </c>
      <c r="H55" t="s">
        <v>15</v>
      </c>
      <c r="I55" s="38">
        <v>31998.938444203115</v>
      </c>
    </row>
    <row r="56" spans="1:9" ht="15" customHeight="1">
      <c r="A56">
        <v>405</v>
      </c>
      <c r="B56" s="2">
        <v>45658</v>
      </c>
      <c r="C56" s="2">
        <v>46022</v>
      </c>
      <c r="D56" s="2">
        <v>45748</v>
      </c>
      <c r="E56" t="s">
        <v>12</v>
      </c>
      <c r="F56" t="s">
        <v>16</v>
      </c>
      <c r="G56" t="s">
        <v>14</v>
      </c>
      <c r="H56" t="s">
        <v>15</v>
      </c>
      <c r="I56" s="38">
        <v>0</v>
      </c>
    </row>
    <row r="57" spans="1:9" ht="15" customHeight="1">
      <c r="A57">
        <v>405</v>
      </c>
      <c r="B57" s="2">
        <v>45658</v>
      </c>
      <c r="C57" s="2">
        <v>46022</v>
      </c>
      <c r="D57" s="2">
        <v>45778</v>
      </c>
      <c r="E57" t="s">
        <v>12</v>
      </c>
      <c r="F57" t="s">
        <v>16</v>
      </c>
      <c r="G57" t="s">
        <v>14</v>
      </c>
      <c r="H57" t="s">
        <v>15</v>
      </c>
      <c r="I57" s="38">
        <v>0</v>
      </c>
    </row>
    <row r="58" spans="1:9" ht="15" customHeight="1">
      <c r="A58">
        <v>405</v>
      </c>
      <c r="B58" s="2">
        <v>45658</v>
      </c>
      <c r="C58" s="2">
        <v>46022</v>
      </c>
      <c r="D58" s="2">
        <v>45809</v>
      </c>
      <c r="E58" t="s">
        <v>12</v>
      </c>
      <c r="F58" t="s">
        <v>16</v>
      </c>
      <c r="G58" t="s">
        <v>14</v>
      </c>
      <c r="H58" t="s">
        <v>15</v>
      </c>
      <c r="I58" s="38">
        <v>0</v>
      </c>
    </row>
    <row r="59" spans="1:9" ht="15" customHeight="1">
      <c r="A59">
        <v>405</v>
      </c>
      <c r="B59" s="2">
        <v>45658</v>
      </c>
      <c r="C59" s="2">
        <v>46022</v>
      </c>
      <c r="D59" s="2">
        <v>45839</v>
      </c>
      <c r="E59" t="s">
        <v>12</v>
      </c>
      <c r="F59" t="s">
        <v>16</v>
      </c>
      <c r="G59" t="s">
        <v>14</v>
      </c>
      <c r="H59" t="s">
        <v>15</v>
      </c>
      <c r="I59" s="38">
        <v>0</v>
      </c>
    </row>
    <row r="60" spans="1:9" ht="15" customHeight="1">
      <c r="A60">
        <v>405</v>
      </c>
      <c r="B60" s="2">
        <v>45658</v>
      </c>
      <c r="C60" s="2">
        <v>46022</v>
      </c>
      <c r="D60" s="2">
        <v>45870</v>
      </c>
      <c r="E60" t="s">
        <v>12</v>
      </c>
      <c r="F60" t="s">
        <v>16</v>
      </c>
      <c r="G60" t="s">
        <v>14</v>
      </c>
      <c r="H60" t="s">
        <v>15</v>
      </c>
      <c r="I60" s="38">
        <v>0</v>
      </c>
    </row>
    <row r="61" spans="1:9" ht="15" customHeight="1">
      <c r="A61">
        <v>405</v>
      </c>
      <c r="B61" s="2">
        <v>45658</v>
      </c>
      <c r="C61" s="2">
        <v>46022</v>
      </c>
      <c r="D61" s="2">
        <v>45901</v>
      </c>
      <c r="E61" t="s">
        <v>12</v>
      </c>
      <c r="F61" t="s">
        <v>16</v>
      </c>
      <c r="G61" t="s">
        <v>14</v>
      </c>
      <c r="H61" t="s">
        <v>15</v>
      </c>
      <c r="I61" s="38">
        <v>54000</v>
      </c>
    </row>
    <row r="62" spans="1:9" ht="15" customHeight="1">
      <c r="A62">
        <v>405</v>
      </c>
      <c r="B62" s="2">
        <v>45658</v>
      </c>
      <c r="C62" s="2">
        <v>46022</v>
      </c>
      <c r="D62" s="2">
        <v>45931</v>
      </c>
      <c r="E62" t="s">
        <v>12</v>
      </c>
      <c r="F62" t="s">
        <v>16</v>
      </c>
      <c r="G62" t="s">
        <v>14</v>
      </c>
      <c r="H62" t="s">
        <v>15</v>
      </c>
      <c r="I62" s="38">
        <v>54000</v>
      </c>
    </row>
    <row r="63" spans="1:9" ht="15" customHeight="1">
      <c r="A63">
        <v>405</v>
      </c>
      <c r="B63" s="2">
        <v>45658</v>
      </c>
      <c r="C63" s="2">
        <v>46022</v>
      </c>
      <c r="D63" s="2">
        <v>45962</v>
      </c>
      <c r="E63" t="s">
        <v>12</v>
      </c>
      <c r="F63" t="s">
        <v>16</v>
      </c>
      <c r="G63" t="s">
        <v>14</v>
      </c>
      <c r="H63" t="s">
        <v>15</v>
      </c>
      <c r="I63" s="38">
        <v>54000</v>
      </c>
    </row>
    <row r="64" spans="1:9" ht="15" customHeight="1">
      <c r="A64">
        <v>405</v>
      </c>
      <c r="B64" s="2">
        <v>45658</v>
      </c>
      <c r="C64" s="2">
        <v>46022</v>
      </c>
      <c r="D64" s="2">
        <v>45992</v>
      </c>
      <c r="E64" t="s">
        <v>12</v>
      </c>
      <c r="F64" t="s">
        <v>16</v>
      </c>
      <c r="G64" t="s">
        <v>14</v>
      </c>
      <c r="H64" t="s">
        <v>15</v>
      </c>
      <c r="I64" s="38">
        <v>54000</v>
      </c>
    </row>
    <row r="65" spans="1:9" ht="15" customHeight="1">
      <c r="A65">
        <v>406</v>
      </c>
      <c r="B65" s="2">
        <v>45658</v>
      </c>
      <c r="C65" s="2">
        <v>46022</v>
      </c>
      <c r="D65" s="2">
        <v>45748</v>
      </c>
      <c r="E65" t="s">
        <v>23</v>
      </c>
      <c r="F65" t="s">
        <v>24</v>
      </c>
      <c r="G65" t="s">
        <v>14</v>
      </c>
      <c r="H65" t="s">
        <v>15</v>
      </c>
      <c r="I65" s="38">
        <v>13500</v>
      </c>
    </row>
    <row r="66" spans="1:9" ht="15" customHeight="1">
      <c r="A66">
        <v>406</v>
      </c>
      <c r="B66" s="2">
        <v>45658</v>
      </c>
      <c r="C66" s="2">
        <v>46022</v>
      </c>
      <c r="D66" s="2">
        <v>45778</v>
      </c>
      <c r="E66" t="s">
        <v>23</v>
      </c>
      <c r="F66" t="s">
        <v>24</v>
      </c>
      <c r="G66" t="s">
        <v>14</v>
      </c>
      <c r="H66" t="s">
        <v>15</v>
      </c>
      <c r="I66" s="38">
        <v>13500</v>
      </c>
    </row>
    <row r="67" spans="1:9" ht="15" customHeight="1">
      <c r="A67">
        <v>406</v>
      </c>
      <c r="B67" s="2">
        <v>45658</v>
      </c>
      <c r="C67" s="2">
        <v>46022</v>
      </c>
      <c r="D67" s="2">
        <v>45809</v>
      </c>
      <c r="E67" t="s">
        <v>23</v>
      </c>
      <c r="F67" t="s">
        <v>24</v>
      </c>
      <c r="G67" t="s">
        <v>14</v>
      </c>
      <c r="H67" t="s">
        <v>15</v>
      </c>
      <c r="I67" s="38">
        <v>13500</v>
      </c>
    </row>
    <row r="68" spans="1:9" ht="15" customHeight="1">
      <c r="A68">
        <v>406</v>
      </c>
      <c r="B68" s="2">
        <v>45658</v>
      </c>
      <c r="C68" s="2">
        <v>46022</v>
      </c>
      <c r="D68" s="2">
        <v>45839</v>
      </c>
      <c r="E68" t="s">
        <v>23</v>
      </c>
      <c r="F68" t="s">
        <v>24</v>
      </c>
      <c r="G68" t="s">
        <v>14</v>
      </c>
      <c r="H68" t="s">
        <v>15</v>
      </c>
      <c r="I68" s="38">
        <v>13500</v>
      </c>
    </row>
    <row r="69" spans="1:9" ht="15" customHeight="1">
      <c r="A69">
        <v>406</v>
      </c>
      <c r="B69" s="2">
        <v>45658</v>
      </c>
      <c r="C69" s="2">
        <v>46022</v>
      </c>
      <c r="D69" s="2">
        <v>45870</v>
      </c>
      <c r="E69" t="s">
        <v>23</v>
      </c>
      <c r="F69" t="s">
        <v>24</v>
      </c>
      <c r="G69" t="s">
        <v>14</v>
      </c>
      <c r="H69" t="s">
        <v>15</v>
      </c>
      <c r="I69" s="38">
        <v>13500</v>
      </c>
    </row>
    <row r="70" spans="1:9" ht="15" customHeight="1">
      <c r="A70">
        <v>406</v>
      </c>
      <c r="B70" s="2">
        <v>45658</v>
      </c>
      <c r="C70" s="2">
        <v>46022</v>
      </c>
      <c r="D70" s="2">
        <v>45901</v>
      </c>
      <c r="E70" t="s">
        <v>23</v>
      </c>
      <c r="F70" t="s">
        <v>24</v>
      </c>
      <c r="G70" t="s">
        <v>14</v>
      </c>
      <c r="H70" t="s">
        <v>15</v>
      </c>
      <c r="I70" s="38">
        <v>13500</v>
      </c>
    </row>
    <row r="71" spans="1:9" ht="15" customHeight="1">
      <c r="A71">
        <v>406</v>
      </c>
      <c r="B71" s="2">
        <v>45658</v>
      </c>
      <c r="C71" s="2">
        <v>46022</v>
      </c>
      <c r="D71" s="2">
        <v>45931</v>
      </c>
      <c r="E71" t="s">
        <v>23</v>
      </c>
      <c r="F71" t="s">
        <v>24</v>
      </c>
      <c r="G71" t="s">
        <v>14</v>
      </c>
      <c r="H71" t="s">
        <v>15</v>
      </c>
      <c r="I71" s="38">
        <v>13500</v>
      </c>
    </row>
    <row r="72" spans="1:9" ht="15" customHeight="1">
      <c r="A72">
        <v>406</v>
      </c>
      <c r="B72" s="2">
        <v>45658</v>
      </c>
      <c r="C72" s="2">
        <v>46022</v>
      </c>
      <c r="D72" s="2">
        <v>45962</v>
      </c>
      <c r="E72" t="s">
        <v>23</v>
      </c>
      <c r="F72" t="s">
        <v>24</v>
      </c>
      <c r="G72" t="s">
        <v>14</v>
      </c>
      <c r="H72" t="s">
        <v>15</v>
      </c>
      <c r="I72" s="38">
        <v>13500</v>
      </c>
    </row>
    <row r="73" spans="1:9" ht="15" customHeight="1">
      <c r="A73">
        <v>406</v>
      </c>
      <c r="B73" s="2">
        <v>45658</v>
      </c>
      <c r="C73" s="2">
        <v>46022</v>
      </c>
      <c r="D73" s="2">
        <v>45992</v>
      </c>
      <c r="E73" t="s">
        <v>23</v>
      </c>
      <c r="F73" t="s">
        <v>24</v>
      </c>
      <c r="G73" t="s">
        <v>14</v>
      </c>
      <c r="H73" t="s">
        <v>15</v>
      </c>
      <c r="I73" s="38">
        <v>13500</v>
      </c>
    </row>
    <row r="74" spans="1:9" ht="15" customHeight="1">
      <c r="A74">
        <v>443</v>
      </c>
      <c r="B74" s="2">
        <v>45658</v>
      </c>
      <c r="C74" s="2">
        <v>46022</v>
      </c>
      <c r="D74" s="2">
        <v>45748</v>
      </c>
      <c r="E74" t="s">
        <v>12</v>
      </c>
      <c r="F74" t="s">
        <v>25</v>
      </c>
      <c r="G74" t="s">
        <v>14</v>
      </c>
      <c r="H74" t="s">
        <v>15</v>
      </c>
      <c r="I74" s="38">
        <v>0</v>
      </c>
    </row>
    <row r="75" spans="1:9" ht="15" customHeight="1">
      <c r="A75">
        <v>443</v>
      </c>
      <c r="B75" s="2">
        <v>45658</v>
      </c>
      <c r="C75" s="2">
        <v>46022</v>
      </c>
      <c r="D75" s="2">
        <v>45778</v>
      </c>
      <c r="E75" t="s">
        <v>12</v>
      </c>
      <c r="F75" t="s">
        <v>25</v>
      </c>
      <c r="G75" t="s">
        <v>14</v>
      </c>
      <c r="H75" t="s">
        <v>15</v>
      </c>
      <c r="I75" s="38">
        <v>0</v>
      </c>
    </row>
    <row r="76" spans="1:9" ht="15" customHeight="1">
      <c r="A76">
        <v>443</v>
      </c>
      <c r="B76" s="2">
        <v>45658</v>
      </c>
      <c r="C76" s="2">
        <v>46022</v>
      </c>
      <c r="D76" s="2">
        <v>45809</v>
      </c>
      <c r="E76" t="s">
        <v>12</v>
      </c>
      <c r="F76" t="s">
        <v>25</v>
      </c>
      <c r="G76" t="s">
        <v>14</v>
      </c>
      <c r="H76" t="s">
        <v>15</v>
      </c>
      <c r="I76" s="38">
        <v>0</v>
      </c>
    </row>
    <row r="77" spans="1:9" ht="15" customHeight="1">
      <c r="A77">
        <v>443</v>
      </c>
      <c r="B77" s="2">
        <v>45658</v>
      </c>
      <c r="C77" s="2">
        <v>46022</v>
      </c>
      <c r="D77" s="2">
        <v>45839</v>
      </c>
      <c r="E77" t="s">
        <v>12</v>
      </c>
      <c r="F77" t="s">
        <v>25</v>
      </c>
      <c r="G77" t="s">
        <v>14</v>
      </c>
      <c r="H77" t="s">
        <v>15</v>
      </c>
      <c r="I77" s="38">
        <v>0</v>
      </c>
    </row>
    <row r="78" spans="1:9" ht="15" customHeight="1">
      <c r="A78">
        <v>443</v>
      </c>
      <c r="B78" s="2">
        <v>45658</v>
      </c>
      <c r="C78" s="2">
        <v>46022</v>
      </c>
      <c r="D78" s="2">
        <v>45870</v>
      </c>
      <c r="E78" t="s">
        <v>12</v>
      </c>
      <c r="F78" t="s">
        <v>25</v>
      </c>
      <c r="G78" t="s">
        <v>14</v>
      </c>
      <c r="H78" t="s">
        <v>15</v>
      </c>
      <c r="I78" s="38">
        <v>0</v>
      </c>
    </row>
    <row r="79" spans="1:9" ht="15" customHeight="1">
      <c r="A79">
        <v>443</v>
      </c>
      <c r="B79" s="2">
        <v>45658</v>
      </c>
      <c r="C79" s="2">
        <v>46022</v>
      </c>
      <c r="D79" s="2">
        <v>45901</v>
      </c>
      <c r="E79" t="s">
        <v>12</v>
      </c>
      <c r="F79" t="s">
        <v>25</v>
      </c>
      <c r="G79" t="s">
        <v>14</v>
      </c>
      <c r="H79" t="s">
        <v>15</v>
      </c>
      <c r="I79" s="38">
        <v>0</v>
      </c>
    </row>
    <row r="80" spans="1:9" ht="15" customHeight="1">
      <c r="A80">
        <v>443</v>
      </c>
      <c r="B80" s="2">
        <v>45658</v>
      </c>
      <c r="C80" s="2">
        <v>46022</v>
      </c>
      <c r="D80" s="2">
        <v>45931</v>
      </c>
      <c r="E80" t="s">
        <v>12</v>
      </c>
      <c r="F80" t="s">
        <v>25</v>
      </c>
      <c r="G80" t="s">
        <v>14</v>
      </c>
      <c r="H80" t="s">
        <v>15</v>
      </c>
      <c r="I80" s="38">
        <v>0</v>
      </c>
    </row>
    <row r="81" spans="1:9" ht="15" customHeight="1">
      <c r="A81">
        <v>443</v>
      </c>
      <c r="B81" s="2">
        <v>45658</v>
      </c>
      <c r="C81" s="2">
        <v>46022</v>
      </c>
      <c r="D81" s="2">
        <v>45962</v>
      </c>
      <c r="E81" t="s">
        <v>12</v>
      </c>
      <c r="F81" t="s">
        <v>25</v>
      </c>
      <c r="G81" t="s">
        <v>14</v>
      </c>
      <c r="H81" t="s">
        <v>15</v>
      </c>
      <c r="I81" s="38">
        <v>0</v>
      </c>
    </row>
    <row r="82" spans="1:9" ht="15" customHeight="1">
      <c r="A82">
        <v>443</v>
      </c>
      <c r="B82" s="2">
        <v>45658</v>
      </c>
      <c r="C82" s="2">
        <v>46022</v>
      </c>
      <c r="D82" s="2">
        <v>45992</v>
      </c>
      <c r="E82" t="s">
        <v>12</v>
      </c>
      <c r="F82" t="s">
        <v>25</v>
      </c>
      <c r="G82" t="s">
        <v>14</v>
      </c>
      <c r="H82" t="s">
        <v>15</v>
      </c>
      <c r="I82" s="38">
        <v>0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6BE3F-0793-420A-8734-6013C803D674}">
  <dimension ref="A1:M39"/>
  <sheetViews>
    <sheetView tabSelected="1" topLeftCell="C1" workbookViewId="0">
      <pane ySplit="1" topLeftCell="A29" activePane="bottomLeft" state="frozen"/>
      <selection pane="bottomLeft" activeCell="F33" sqref="F33"/>
      <selection activeCell="B1" sqref="B1"/>
    </sheetView>
  </sheetViews>
  <sheetFormatPr defaultRowHeight="20.25" customHeight="1"/>
  <cols>
    <col min="1" max="1" width="16.140625" bestFit="1" customWidth="1"/>
    <col min="2" max="2" width="28.42578125" bestFit="1" customWidth="1"/>
    <col min="3" max="3" width="19.28515625" bestFit="1" customWidth="1"/>
    <col min="4" max="4" width="58.42578125" bestFit="1" customWidth="1"/>
    <col min="5" max="5" width="31.140625" bestFit="1" customWidth="1"/>
    <col min="6" max="6" width="20.7109375" style="56" bestFit="1" customWidth="1"/>
    <col min="7" max="7" width="19.85546875" style="56" bestFit="1" customWidth="1"/>
    <col min="8" max="8" width="10.5703125" bestFit="1" customWidth="1"/>
    <col min="9" max="9" width="77.42578125" bestFit="1" customWidth="1"/>
    <col min="10" max="10" width="25.28515625" bestFit="1" customWidth="1"/>
    <col min="11" max="11" width="37" bestFit="1" customWidth="1"/>
    <col min="12" max="12" width="13.140625" bestFit="1" customWidth="1"/>
    <col min="13" max="13" width="12.28515625" bestFit="1" customWidth="1"/>
    <col min="14" max="14" width="42.5703125" bestFit="1" customWidth="1"/>
    <col min="15" max="15" width="25.42578125" bestFit="1" customWidth="1"/>
    <col min="16" max="16" width="18.5703125" bestFit="1" customWidth="1"/>
    <col min="17" max="17" width="28.42578125" bestFit="1" customWidth="1"/>
    <col min="18" max="18" width="26.7109375" bestFit="1" customWidth="1"/>
    <col min="19" max="19" width="22.140625" bestFit="1" customWidth="1"/>
    <col min="20" max="20" width="37.7109375" bestFit="1" customWidth="1"/>
  </cols>
  <sheetData>
    <row r="1" spans="1:13" ht="20.25" customHeight="1">
      <c r="A1" s="3" t="s">
        <v>26</v>
      </c>
      <c r="B1" s="3" t="s">
        <v>27</v>
      </c>
      <c r="C1" s="3" t="s">
        <v>28</v>
      </c>
      <c r="D1" s="3" t="s">
        <v>29</v>
      </c>
      <c r="E1" s="3" t="s">
        <v>0</v>
      </c>
      <c r="F1" s="56" t="s">
        <v>30</v>
      </c>
      <c r="G1" s="56" t="s">
        <v>3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</row>
    <row r="2" spans="1:13" ht="20.25" customHeight="1">
      <c r="A2" s="1"/>
      <c r="B2" t="s">
        <v>37</v>
      </c>
      <c r="C2" s="1">
        <v>1</v>
      </c>
      <c r="D2" s="1" t="s">
        <v>38</v>
      </c>
      <c r="E2" s="72">
        <v>406</v>
      </c>
      <c r="F2" s="73">
        <v>45688</v>
      </c>
      <c r="G2" s="73">
        <v>45736</v>
      </c>
      <c r="H2" s="74">
        <v>-7895.75</v>
      </c>
      <c r="I2" s="1" t="s">
        <v>39</v>
      </c>
      <c r="J2" s="1"/>
      <c r="K2" s="1"/>
      <c r="L2" s="1"/>
      <c r="M2" t="s">
        <v>40</v>
      </c>
    </row>
    <row r="3" spans="1:13" ht="20.25" customHeight="1">
      <c r="A3" s="3"/>
      <c r="B3" t="s">
        <v>37</v>
      </c>
      <c r="C3" s="1">
        <v>1</v>
      </c>
      <c r="D3" s="1" t="s">
        <v>38</v>
      </c>
      <c r="E3" s="72">
        <v>406</v>
      </c>
      <c r="F3" s="73">
        <v>45716</v>
      </c>
      <c r="G3" s="73">
        <v>45736</v>
      </c>
      <c r="H3" s="74">
        <v>-7895.75</v>
      </c>
      <c r="I3" s="1" t="s">
        <v>41</v>
      </c>
      <c r="J3" s="1"/>
      <c r="K3" s="1"/>
      <c r="L3" s="1"/>
      <c r="M3" s="1" t="s">
        <v>40</v>
      </c>
    </row>
    <row r="4" spans="1:13" ht="20.25" customHeight="1">
      <c r="B4" t="s">
        <v>37</v>
      </c>
      <c r="C4" s="1">
        <v>1</v>
      </c>
      <c r="D4" s="1" t="s">
        <v>38</v>
      </c>
      <c r="E4" s="72">
        <v>406</v>
      </c>
      <c r="F4" s="73">
        <v>45747</v>
      </c>
      <c r="G4" s="73">
        <v>45767</v>
      </c>
      <c r="H4" s="74">
        <v>-7895.75</v>
      </c>
      <c r="I4" s="1" t="s">
        <v>42</v>
      </c>
      <c r="M4" t="s">
        <v>40</v>
      </c>
    </row>
    <row r="5" spans="1:13" ht="20.25" customHeight="1">
      <c r="B5" t="s">
        <v>37</v>
      </c>
      <c r="C5" s="1">
        <v>1</v>
      </c>
      <c r="D5" s="1" t="s">
        <v>38</v>
      </c>
      <c r="E5" s="72">
        <v>406</v>
      </c>
      <c r="F5" s="73">
        <v>45777</v>
      </c>
      <c r="G5" s="73">
        <v>45797</v>
      </c>
      <c r="H5" s="74">
        <v>-7895.75</v>
      </c>
      <c r="I5" s="1" t="s">
        <v>43</v>
      </c>
      <c r="M5" t="s">
        <v>40</v>
      </c>
    </row>
    <row r="6" spans="1:13" ht="20.25" customHeight="1">
      <c r="B6" t="s">
        <v>37</v>
      </c>
      <c r="C6" s="1">
        <v>1</v>
      </c>
      <c r="D6" s="1" t="s">
        <v>38</v>
      </c>
      <c r="E6" s="72">
        <v>406</v>
      </c>
      <c r="F6" s="73">
        <v>45808</v>
      </c>
      <c r="G6" s="73">
        <v>45828</v>
      </c>
      <c r="H6" s="74">
        <v>-7895.75</v>
      </c>
      <c r="I6" s="1" t="s">
        <v>44</v>
      </c>
      <c r="M6" t="s">
        <v>40</v>
      </c>
    </row>
    <row r="7" spans="1:13" ht="20.25" customHeight="1">
      <c r="B7" t="s">
        <v>37</v>
      </c>
      <c r="C7" s="1">
        <v>1</v>
      </c>
      <c r="D7" s="1" t="s">
        <v>38</v>
      </c>
      <c r="E7" s="72">
        <v>406</v>
      </c>
      <c r="F7" s="73">
        <v>45838</v>
      </c>
      <c r="G7" s="73">
        <v>45858</v>
      </c>
      <c r="H7" s="74">
        <v>-7895.75</v>
      </c>
      <c r="I7" s="1" t="s">
        <v>45</v>
      </c>
      <c r="M7" t="s">
        <v>40</v>
      </c>
    </row>
    <row r="8" spans="1:13" ht="20.25" customHeight="1">
      <c r="B8" t="s">
        <v>37</v>
      </c>
      <c r="C8" s="1">
        <v>1</v>
      </c>
      <c r="D8" s="1" t="s">
        <v>38</v>
      </c>
      <c r="E8" s="72">
        <v>406</v>
      </c>
      <c r="F8" s="73">
        <v>45869</v>
      </c>
      <c r="G8" s="73">
        <v>45889</v>
      </c>
      <c r="H8" s="74">
        <v>-7895.75</v>
      </c>
      <c r="I8" s="1" t="s">
        <v>46</v>
      </c>
      <c r="M8" t="s">
        <v>40</v>
      </c>
    </row>
    <row r="9" spans="1:13" ht="20.25" customHeight="1">
      <c r="B9" t="s">
        <v>37</v>
      </c>
      <c r="C9" s="1">
        <v>1</v>
      </c>
      <c r="D9" s="1" t="s">
        <v>38</v>
      </c>
      <c r="E9" s="72">
        <v>406</v>
      </c>
      <c r="F9" s="73">
        <v>45900</v>
      </c>
      <c r="G9" s="73">
        <v>45920</v>
      </c>
      <c r="H9" s="74">
        <v>-7895.75</v>
      </c>
      <c r="I9" s="1" t="s">
        <v>47</v>
      </c>
      <c r="M9" t="s">
        <v>40</v>
      </c>
    </row>
    <row r="10" spans="1:13" ht="20.25" customHeight="1">
      <c r="B10" t="s">
        <v>37</v>
      </c>
      <c r="C10" s="1">
        <v>1</v>
      </c>
      <c r="D10" s="1" t="s">
        <v>38</v>
      </c>
      <c r="E10" s="72">
        <v>406</v>
      </c>
      <c r="F10" s="73">
        <v>45930</v>
      </c>
      <c r="G10" s="73">
        <v>45950</v>
      </c>
      <c r="H10" s="74">
        <v>-7895.75</v>
      </c>
      <c r="I10" s="1" t="s">
        <v>48</v>
      </c>
      <c r="M10" t="s">
        <v>40</v>
      </c>
    </row>
    <row r="11" spans="1:13" ht="20.25" customHeight="1">
      <c r="B11" t="s">
        <v>37</v>
      </c>
      <c r="C11" s="1">
        <v>1</v>
      </c>
      <c r="D11" s="1" t="s">
        <v>38</v>
      </c>
      <c r="E11" s="72">
        <v>406</v>
      </c>
      <c r="F11" s="73">
        <v>45961</v>
      </c>
      <c r="G11" s="73">
        <v>45981</v>
      </c>
      <c r="H11" s="74">
        <v>-7895.75</v>
      </c>
      <c r="I11" s="1" t="s">
        <v>49</v>
      </c>
      <c r="M11" t="s">
        <v>40</v>
      </c>
    </row>
    <row r="12" spans="1:13" ht="20.25" customHeight="1">
      <c r="B12" t="s">
        <v>37</v>
      </c>
      <c r="C12" s="1">
        <v>1</v>
      </c>
      <c r="D12" s="1" t="s">
        <v>38</v>
      </c>
      <c r="E12" s="72">
        <v>406</v>
      </c>
      <c r="F12" s="73">
        <v>45991</v>
      </c>
      <c r="G12" s="73">
        <v>46011</v>
      </c>
      <c r="H12" s="74">
        <v>-7895.75</v>
      </c>
      <c r="I12" s="1" t="s">
        <v>50</v>
      </c>
      <c r="M12" t="s">
        <v>40</v>
      </c>
    </row>
    <row r="13" spans="1:13" ht="20.25" customHeight="1">
      <c r="B13" t="s">
        <v>37</v>
      </c>
      <c r="C13" s="1">
        <v>1</v>
      </c>
      <c r="D13" s="1" t="s">
        <v>38</v>
      </c>
      <c r="E13" s="72">
        <v>406</v>
      </c>
      <c r="F13" s="73">
        <v>46022</v>
      </c>
      <c r="G13" s="73">
        <v>46042</v>
      </c>
      <c r="H13" s="74">
        <v>-7895.75</v>
      </c>
      <c r="I13" s="1" t="s">
        <v>51</v>
      </c>
      <c r="M13" t="s">
        <v>40</v>
      </c>
    </row>
    <row r="14" spans="1:13" ht="20.25" customHeight="1">
      <c r="B14" t="s">
        <v>37</v>
      </c>
      <c r="C14" s="1">
        <v>2</v>
      </c>
      <c r="D14" t="s">
        <v>21</v>
      </c>
      <c r="E14" s="72">
        <v>403</v>
      </c>
      <c r="F14" s="73">
        <v>45900</v>
      </c>
      <c r="G14" s="55">
        <v>45920</v>
      </c>
      <c r="H14" s="74">
        <f t="shared" ref="H14:H23" si="0">-33931.59/2</f>
        <v>-16965.794999999998</v>
      </c>
      <c r="I14" s="1" t="s">
        <v>52</v>
      </c>
      <c r="K14" t="s">
        <v>53</v>
      </c>
      <c r="M14" t="s">
        <v>54</v>
      </c>
    </row>
    <row r="15" spans="1:13" ht="20.25" customHeight="1">
      <c r="B15" t="s">
        <v>37</v>
      </c>
      <c r="C15" s="1">
        <v>2</v>
      </c>
      <c r="D15" t="s">
        <v>21</v>
      </c>
      <c r="E15" s="72">
        <v>403</v>
      </c>
      <c r="F15" s="73">
        <v>45930</v>
      </c>
      <c r="G15" s="55">
        <v>45950</v>
      </c>
      <c r="H15" s="74">
        <f t="shared" si="0"/>
        <v>-16965.794999999998</v>
      </c>
      <c r="I15" s="1" t="s">
        <v>55</v>
      </c>
      <c r="K15" t="s">
        <v>53</v>
      </c>
      <c r="M15" t="s">
        <v>54</v>
      </c>
    </row>
    <row r="16" spans="1:13" ht="20.25" customHeight="1">
      <c r="B16" t="s">
        <v>37</v>
      </c>
      <c r="C16" s="1">
        <v>2</v>
      </c>
      <c r="D16" t="s">
        <v>21</v>
      </c>
      <c r="E16" s="72">
        <v>403</v>
      </c>
      <c r="F16" s="73">
        <v>45961</v>
      </c>
      <c r="G16" s="55">
        <v>45981</v>
      </c>
      <c r="H16" s="74">
        <f t="shared" si="0"/>
        <v>-16965.794999999998</v>
      </c>
      <c r="I16" s="1" t="s">
        <v>56</v>
      </c>
      <c r="K16" t="s">
        <v>53</v>
      </c>
      <c r="M16" t="s">
        <v>54</v>
      </c>
    </row>
    <row r="17" spans="2:13" ht="20.25" customHeight="1">
      <c r="B17" t="s">
        <v>37</v>
      </c>
      <c r="C17" s="1">
        <v>2</v>
      </c>
      <c r="D17" t="s">
        <v>21</v>
      </c>
      <c r="E17" s="72">
        <v>403</v>
      </c>
      <c r="F17" s="73">
        <v>45991</v>
      </c>
      <c r="G17" s="55">
        <v>46011</v>
      </c>
      <c r="H17" s="74">
        <f t="shared" si="0"/>
        <v>-16965.794999999998</v>
      </c>
      <c r="I17" s="1" t="s">
        <v>57</v>
      </c>
      <c r="K17" t="s">
        <v>53</v>
      </c>
      <c r="M17" t="s">
        <v>54</v>
      </c>
    </row>
    <row r="18" spans="2:13" ht="20.25" customHeight="1">
      <c r="B18" t="s">
        <v>37</v>
      </c>
      <c r="C18" s="1">
        <v>2</v>
      </c>
      <c r="D18" t="s">
        <v>21</v>
      </c>
      <c r="E18" s="72">
        <v>403</v>
      </c>
      <c r="F18" s="73">
        <v>46022</v>
      </c>
      <c r="G18" s="55">
        <v>46042</v>
      </c>
      <c r="H18" s="74">
        <f t="shared" si="0"/>
        <v>-16965.794999999998</v>
      </c>
      <c r="I18" s="1" t="s">
        <v>58</v>
      </c>
      <c r="K18" t="s">
        <v>53</v>
      </c>
      <c r="M18" t="s">
        <v>54</v>
      </c>
    </row>
    <row r="19" spans="2:13" ht="20.25" customHeight="1">
      <c r="B19" t="s">
        <v>37</v>
      </c>
      <c r="C19" s="1">
        <v>3</v>
      </c>
      <c r="D19" t="s">
        <v>19</v>
      </c>
      <c r="E19" s="72">
        <v>402</v>
      </c>
      <c r="F19" s="73">
        <v>45900</v>
      </c>
      <c r="G19" s="55">
        <v>45920</v>
      </c>
      <c r="H19" s="74">
        <f t="shared" si="0"/>
        <v>-16965.794999999998</v>
      </c>
      <c r="I19" s="1" t="s">
        <v>59</v>
      </c>
      <c r="K19" t="s">
        <v>53</v>
      </c>
      <c r="M19" t="s">
        <v>60</v>
      </c>
    </row>
    <row r="20" spans="2:13" ht="20.25" customHeight="1">
      <c r="B20" t="s">
        <v>37</v>
      </c>
      <c r="C20" s="1">
        <v>3</v>
      </c>
      <c r="D20" t="s">
        <v>19</v>
      </c>
      <c r="E20" s="72">
        <v>402</v>
      </c>
      <c r="F20" s="73">
        <v>45930</v>
      </c>
      <c r="G20" s="55">
        <v>45950</v>
      </c>
      <c r="H20" s="74">
        <f t="shared" si="0"/>
        <v>-16965.794999999998</v>
      </c>
      <c r="I20" s="1" t="s">
        <v>61</v>
      </c>
      <c r="K20" t="s">
        <v>53</v>
      </c>
      <c r="M20" t="s">
        <v>60</v>
      </c>
    </row>
    <row r="21" spans="2:13" ht="20.25" customHeight="1">
      <c r="B21" t="s">
        <v>37</v>
      </c>
      <c r="C21" s="1">
        <v>3</v>
      </c>
      <c r="D21" t="s">
        <v>19</v>
      </c>
      <c r="E21" s="72">
        <v>402</v>
      </c>
      <c r="F21" s="73">
        <v>45961</v>
      </c>
      <c r="G21" s="55">
        <v>45981</v>
      </c>
      <c r="H21" s="74">
        <f t="shared" si="0"/>
        <v>-16965.794999999998</v>
      </c>
      <c r="I21" s="1" t="s">
        <v>62</v>
      </c>
      <c r="K21" t="s">
        <v>53</v>
      </c>
      <c r="M21" t="s">
        <v>60</v>
      </c>
    </row>
    <row r="22" spans="2:13" ht="20.25" customHeight="1">
      <c r="B22" t="s">
        <v>37</v>
      </c>
      <c r="C22" s="1">
        <v>3</v>
      </c>
      <c r="D22" t="s">
        <v>19</v>
      </c>
      <c r="E22" s="72">
        <v>402</v>
      </c>
      <c r="F22" s="73">
        <v>45991</v>
      </c>
      <c r="G22" s="55">
        <v>46011</v>
      </c>
      <c r="H22" s="74">
        <f t="shared" si="0"/>
        <v>-16965.794999999998</v>
      </c>
      <c r="I22" s="1" t="s">
        <v>63</v>
      </c>
      <c r="K22" t="s">
        <v>53</v>
      </c>
      <c r="M22" t="s">
        <v>60</v>
      </c>
    </row>
    <row r="23" spans="2:13" ht="20.25" customHeight="1">
      <c r="B23" t="s">
        <v>37</v>
      </c>
      <c r="C23" s="1">
        <v>3</v>
      </c>
      <c r="D23" t="s">
        <v>19</v>
      </c>
      <c r="E23" s="72">
        <v>402</v>
      </c>
      <c r="F23" s="73">
        <v>46022</v>
      </c>
      <c r="G23" s="55">
        <v>46042</v>
      </c>
      <c r="H23" s="74">
        <f t="shared" si="0"/>
        <v>-16965.794999999998</v>
      </c>
      <c r="I23" s="1" t="s">
        <v>64</v>
      </c>
      <c r="K23" t="s">
        <v>53</v>
      </c>
      <c r="M23" t="s">
        <v>60</v>
      </c>
    </row>
    <row r="24" spans="2:13" ht="20.25" customHeight="1">
      <c r="B24" t="s">
        <v>65</v>
      </c>
      <c r="C24" s="1">
        <v>4</v>
      </c>
      <c r="D24" t="s">
        <v>66</v>
      </c>
      <c r="E24" s="72">
        <v>88</v>
      </c>
      <c r="F24" s="55">
        <v>46307</v>
      </c>
      <c r="G24" s="55">
        <v>45920</v>
      </c>
      <c r="H24" s="74">
        <v>-238904.09</v>
      </c>
      <c r="I24" s="1" t="s">
        <v>67</v>
      </c>
      <c r="M24" t="s">
        <v>40</v>
      </c>
    </row>
    <row r="25" spans="2:13" ht="20.25" customHeight="1">
      <c r="B25" t="s">
        <v>65</v>
      </c>
      <c r="C25" s="1">
        <v>5</v>
      </c>
      <c r="D25" t="s">
        <v>68</v>
      </c>
      <c r="E25" s="72">
        <v>88</v>
      </c>
      <c r="F25" s="55">
        <v>46307</v>
      </c>
      <c r="G25" s="55">
        <v>45920</v>
      </c>
      <c r="H25" s="74">
        <v>-48104.05</v>
      </c>
      <c r="I25" s="1" t="s">
        <v>69</v>
      </c>
      <c r="M25" t="s">
        <v>40</v>
      </c>
    </row>
    <row r="26" spans="2:13" ht="20.25" customHeight="1">
      <c r="B26" t="s">
        <v>65</v>
      </c>
      <c r="C26">
        <v>6</v>
      </c>
      <c r="D26" t="s">
        <v>17</v>
      </c>
      <c r="E26" s="72">
        <v>32</v>
      </c>
      <c r="F26" s="55">
        <v>45677</v>
      </c>
      <c r="G26" s="55">
        <v>45677</v>
      </c>
      <c r="H26" s="74">
        <v>-5163.3500000000004</v>
      </c>
      <c r="I26" s="1" t="s">
        <v>70</v>
      </c>
      <c r="M26" t="s">
        <v>71</v>
      </c>
    </row>
    <row r="27" spans="2:13" ht="20.25" customHeight="1">
      <c r="B27" t="s">
        <v>65</v>
      </c>
      <c r="C27">
        <v>6</v>
      </c>
      <c r="D27" t="s">
        <v>17</v>
      </c>
      <c r="E27" s="72">
        <v>32</v>
      </c>
      <c r="F27" s="55">
        <v>45708</v>
      </c>
      <c r="G27" s="55">
        <v>45708</v>
      </c>
      <c r="H27" s="74">
        <v>-7691.41</v>
      </c>
      <c r="I27" s="1" t="s">
        <v>72</v>
      </c>
      <c r="M27" t="s">
        <v>71</v>
      </c>
    </row>
    <row r="28" spans="2:13" ht="20.25" customHeight="1">
      <c r="B28" t="s">
        <v>65</v>
      </c>
      <c r="C28">
        <v>6</v>
      </c>
      <c r="D28" t="s">
        <v>17</v>
      </c>
      <c r="E28" s="72">
        <v>32</v>
      </c>
      <c r="F28" s="55">
        <v>45764</v>
      </c>
      <c r="G28" s="55">
        <v>45764</v>
      </c>
      <c r="H28" s="74">
        <v>-5163.3500000000004</v>
      </c>
      <c r="I28" s="1" t="s">
        <v>73</v>
      </c>
      <c r="M28" t="s">
        <v>71</v>
      </c>
    </row>
    <row r="29" spans="2:13" ht="20.25" customHeight="1">
      <c r="B29" t="s">
        <v>65</v>
      </c>
      <c r="C29">
        <v>6</v>
      </c>
      <c r="D29" t="s">
        <v>17</v>
      </c>
      <c r="E29" s="72">
        <v>32</v>
      </c>
      <c r="F29" s="55">
        <v>45764</v>
      </c>
      <c r="G29" s="55">
        <v>45764</v>
      </c>
      <c r="H29" s="74">
        <v>-7691.41</v>
      </c>
      <c r="I29" s="1" t="s">
        <v>74</v>
      </c>
      <c r="M29" t="s">
        <v>71</v>
      </c>
    </row>
    <row r="30" spans="2:13" ht="20.25" customHeight="1">
      <c r="B30" t="s">
        <v>65</v>
      </c>
      <c r="C30">
        <v>6</v>
      </c>
      <c r="D30" t="s">
        <v>17</v>
      </c>
      <c r="E30" s="72">
        <v>32</v>
      </c>
      <c r="F30" s="55">
        <v>45849</v>
      </c>
      <c r="G30" s="55">
        <v>45849</v>
      </c>
      <c r="H30" s="74">
        <v>-7691.41</v>
      </c>
      <c r="I30" s="1" t="s">
        <v>75</v>
      </c>
      <c r="M30" t="s">
        <v>71</v>
      </c>
    </row>
    <row r="31" spans="2:13" ht="20.25" customHeight="1">
      <c r="B31" t="s">
        <v>65</v>
      </c>
      <c r="C31">
        <v>6</v>
      </c>
      <c r="D31" t="s">
        <v>17</v>
      </c>
      <c r="E31" s="72">
        <v>32</v>
      </c>
      <c r="F31" s="55">
        <v>45849</v>
      </c>
      <c r="G31" s="55">
        <v>45849</v>
      </c>
      <c r="H31" s="74">
        <v>-5163.3500000000004</v>
      </c>
      <c r="I31" s="1" t="s">
        <v>76</v>
      </c>
      <c r="M31" t="s">
        <v>71</v>
      </c>
    </row>
    <row r="32" spans="2:13" ht="20.25" customHeight="1">
      <c r="B32" t="s">
        <v>77</v>
      </c>
      <c r="C32">
        <v>7</v>
      </c>
      <c r="D32" t="s">
        <v>78</v>
      </c>
      <c r="E32" s="72">
        <v>402</v>
      </c>
      <c r="F32" s="55">
        <v>45889</v>
      </c>
      <c r="G32" s="55">
        <v>45889</v>
      </c>
      <c r="H32" s="74">
        <v>-22000</v>
      </c>
      <c r="I32" t="s">
        <v>79</v>
      </c>
      <c r="K32" t="s">
        <v>80</v>
      </c>
      <c r="M32" t="s">
        <v>60</v>
      </c>
    </row>
    <row r="33" spans="2:9" ht="20.25" customHeight="1">
      <c r="B33" t="s">
        <v>37</v>
      </c>
      <c r="C33">
        <v>8</v>
      </c>
      <c r="D33" t="s">
        <v>38</v>
      </c>
      <c r="E33" s="72">
        <v>406</v>
      </c>
      <c r="F33" s="55">
        <v>45961</v>
      </c>
      <c r="G33" s="55"/>
      <c r="H33" s="74"/>
      <c r="I33" t="s">
        <v>81</v>
      </c>
    </row>
    <row r="34" spans="2:9" ht="20.25" customHeight="1">
      <c r="E34" s="72"/>
      <c r="F34" s="55"/>
      <c r="G34" s="55"/>
      <c r="H34" s="74"/>
    </row>
    <row r="35" spans="2:9" ht="20.25" customHeight="1">
      <c r="E35" s="72"/>
      <c r="F35" s="55"/>
      <c r="G35" s="55"/>
      <c r="H35" s="74"/>
    </row>
    <row r="36" spans="2:9" ht="20.25" customHeight="1">
      <c r="E36" s="72"/>
      <c r="F36" s="55"/>
      <c r="G36" s="55"/>
      <c r="H36" s="74"/>
    </row>
    <row r="37" spans="2:9" ht="20.25" customHeight="1">
      <c r="E37" s="72"/>
      <c r="F37" s="55"/>
      <c r="G37" s="55"/>
      <c r="H37" s="74"/>
    </row>
    <row r="38" spans="2:9" ht="20.25" customHeight="1">
      <c r="E38" s="72"/>
      <c r="F38" s="55"/>
      <c r="G38" s="55"/>
      <c r="H38" s="74"/>
    </row>
    <row r="39" spans="2:9" ht="20.25" customHeight="1">
      <c r="E39" s="72"/>
      <c r="F39" s="55"/>
      <c r="G39" s="55"/>
      <c r="H39" s="74"/>
    </row>
  </sheetData>
  <conditionalFormatting sqref="E26:E39">
    <cfRule type="expression" dxfId="96" priority="13">
      <formula>$F26="REAL"</formula>
    </cfRule>
    <cfRule type="expression" dxfId="95" priority="14">
      <formula>$F26="REP"</formula>
    </cfRule>
  </conditionalFormatting>
  <conditionalFormatting sqref="E2:G25">
    <cfRule type="expression" dxfId="94" priority="17">
      <formula>$G2="REAL"</formula>
    </cfRule>
    <cfRule type="expression" dxfId="93" priority="18">
      <formula>$G2="REP"</formula>
    </cfRule>
  </conditionalFormatting>
  <conditionalFormatting sqref="F26:F39">
    <cfRule type="expression" dxfId="92" priority="7">
      <formula>$F26="REAL"</formula>
    </cfRule>
    <cfRule type="expression" dxfId="91" priority="8">
      <formula>$F26="REP"</formula>
    </cfRule>
  </conditionalFormatting>
  <conditionalFormatting sqref="G26:G31">
    <cfRule type="expression" dxfId="90" priority="15">
      <formula>$F26="REAL"</formula>
    </cfRule>
    <cfRule type="expression" dxfId="89" priority="16">
      <formula>$F26="REP"</formula>
    </cfRule>
  </conditionalFormatting>
  <conditionalFormatting sqref="H2:H39">
    <cfRule type="expression" dxfId="88" priority="37">
      <formula>$G2="REAL"</formula>
    </cfRule>
    <cfRule type="expression" dxfId="87" priority="38">
      <formula>$G2="REP"</formula>
    </cfRule>
  </conditionalFormatting>
  <conditionalFormatting sqref="H2:H39">
    <cfRule type="cellIs" dxfId="86" priority="9" operator="greaterThanOrEqual">
      <formula>0</formula>
    </cfRule>
    <cfRule type="cellIs" dxfId="85" priority="10" operator="lessThan">
      <formula>0</formula>
    </cfRule>
  </conditionalFormatting>
  <conditionalFormatting sqref="G32:G39">
    <cfRule type="expression" dxfId="84" priority="5">
      <formula>$F32="REAL"</formula>
    </cfRule>
    <cfRule type="expression" dxfId="83" priority="6">
      <formula>$F32="REP"</formula>
    </cfRule>
  </conditionalFormatting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1B68-0B3D-4D3A-B78C-6216F43F1786}">
  <dimension ref="A1:X34"/>
  <sheetViews>
    <sheetView showGridLines="0" topLeftCell="M1" workbookViewId="0">
      <pane ySplit="1" topLeftCell="A14" activePane="bottomLeft" state="frozen"/>
      <selection pane="bottomLeft" activeCell="U32" sqref="U32"/>
    </sheetView>
  </sheetViews>
  <sheetFormatPr defaultRowHeight="15" customHeight="1"/>
  <cols>
    <col min="1" max="1" width="11.140625" bestFit="1" customWidth="1"/>
    <col min="2" max="2" width="13.5703125" bestFit="1" customWidth="1"/>
    <col min="3" max="3" width="18.5703125" bestFit="1" customWidth="1"/>
    <col min="4" max="4" width="64.5703125" bestFit="1" customWidth="1"/>
    <col min="5" max="5" width="18.5703125" bestFit="1" customWidth="1"/>
    <col min="6" max="6" width="30.140625" bestFit="1" customWidth="1"/>
    <col min="7" max="7" width="27.5703125" bestFit="1" customWidth="1"/>
    <col min="8" max="8" width="25.140625" bestFit="1" customWidth="1"/>
    <col min="9" max="9" width="7.7109375" style="56" bestFit="1" customWidth="1"/>
    <col min="10" max="10" width="11.85546875" bestFit="1" customWidth="1"/>
    <col min="11" max="11" width="6.5703125" bestFit="1" customWidth="1"/>
    <col min="12" max="12" width="10.42578125" bestFit="1" customWidth="1"/>
    <col min="13" max="13" width="20.28515625" bestFit="1" customWidth="1"/>
    <col min="14" max="14" width="24.42578125" bestFit="1" customWidth="1"/>
    <col min="15" max="15" width="11.85546875" bestFit="1" customWidth="1"/>
    <col min="16" max="16" width="24.5703125" bestFit="1" customWidth="1"/>
    <col min="17" max="17" width="9.5703125" bestFit="1" customWidth="1"/>
    <col min="18" max="18" width="22.140625" bestFit="1" customWidth="1"/>
    <col min="19" max="19" width="12.140625" bestFit="1" customWidth="1"/>
    <col min="20" max="20" width="24.42578125" bestFit="1" customWidth="1"/>
    <col min="21" max="21" width="76.42578125" bestFit="1" customWidth="1"/>
    <col min="22" max="22" width="25.42578125" bestFit="1" customWidth="1"/>
    <col min="23" max="23" width="21.140625" bestFit="1" customWidth="1"/>
    <col min="24" max="24" width="35.140625" bestFit="1" customWidth="1"/>
  </cols>
  <sheetData>
    <row r="1" spans="1:21" ht="15" customHeight="1">
      <c r="A1" s="58" t="s">
        <v>9</v>
      </c>
      <c r="B1" s="44" t="s">
        <v>82</v>
      </c>
      <c r="C1" s="44" t="s">
        <v>83</v>
      </c>
      <c r="D1" s="44" t="s">
        <v>84</v>
      </c>
      <c r="E1" s="3" t="s">
        <v>28</v>
      </c>
      <c r="F1" s="44" t="s">
        <v>0</v>
      </c>
      <c r="G1" s="44" t="s">
        <v>27</v>
      </c>
      <c r="H1" s="44" t="s">
        <v>85</v>
      </c>
      <c r="I1" s="45" t="s">
        <v>86</v>
      </c>
      <c r="J1" s="44" t="s">
        <v>87</v>
      </c>
      <c r="K1" s="44" t="s">
        <v>88</v>
      </c>
      <c r="L1" s="44" t="s">
        <v>89</v>
      </c>
      <c r="M1" s="44" t="s">
        <v>90</v>
      </c>
      <c r="N1" s="44" t="s">
        <v>35</v>
      </c>
      <c r="O1" s="44" t="s">
        <v>36</v>
      </c>
      <c r="P1" s="44" t="s">
        <v>33</v>
      </c>
      <c r="Q1" s="44" t="s">
        <v>34</v>
      </c>
      <c r="R1" s="44" t="s">
        <v>91</v>
      </c>
      <c r="S1" s="44" t="s">
        <v>92</v>
      </c>
      <c r="T1" s="44" t="s">
        <v>93</v>
      </c>
      <c r="U1" s="61" t="s">
        <v>32</v>
      </c>
    </row>
    <row r="2" spans="1:21" ht="15" customHeight="1">
      <c r="A2" s="59"/>
      <c r="B2" s="47">
        <v>28320</v>
      </c>
      <c r="C2" s="46"/>
      <c r="D2" s="46" t="s">
        <v>38</v>
      </c>
      <c r="E2" s="46">
        <v>1</v>
      </c>
      <c r="F2" s="46">
        <v>406</v>
      </c>
      <c r="G2" s="47" t="s">
        <v>37</v>
      </c>
      <c r="H2" s="46"/>
      <c r="I2" s="48"/>
      <c r="J2" s="47"/>
      <c r="K2" s="49">
        <v>120415</v>
      </c>
      <c r="L2" s="49">
        <v>4100093157</v>
      </c>
      <c r="M2" s="49">
        <v>149431</v>
      </c>
      <c r="N2" s="50" t="s">
        <v>94</v>
      </c>
      <c r="O2" s="47" t="s">
        <v>40</v>
      </c>
      <c r="P2" s="47" t="s">
        <v>95</v>
      </c>
      <c r="Q2" s="46"/>
      <c r="R2" s="51">
        <v>45688</v>
      </c>
      <c r="S2" s="52">
        <v>-7895.75</v>
      </c>
      <c r="T2" s="53">
        <v>45736</v>
      </c>
      <c r="U2" s="62" t="s">
        <v>39</v>
      </c>
    </row>
    <row r="3" spans="1:21" ht="15" customHeight="1">
      <c r="A3" s="60"/>
      <c r="B3" s="47">
        <v>28320</v>
      </c>
      <c r="C3" s="47"/>
      <c r="D3" s="46" t="s">
        <v>38</v>
      </c>
      <c r="E3" s="46">
        <v>1</v>
      </c>
      <c r="F3" s="46">
        <v>406</v>
      </c>
      <c r="G3" s="47" t="s">
        <v>37</v>
      </c>
      <c r="H3" s="47"/>
      <c r="I3" s="54"/>
      <c r="J3" s="47"/>
      <c r="K3" s="49">
        <v>120415</v>
      </c>
      <c r="L3" s="49">
        <v>4100093157</v>
      </c>
      <c r="M3" s="49">
        <v>144799</v>
      </c>
      <c r="N3" s="50" t="s">
        <v>94</v>
      </c>
      <c r="O3" s="47" t="s">
        <v>40</v>
      </c>
      <c r="P3" s="47" t="s">
        <v>95</v>
      </c>
      <c r="Q3" s="47"/>
      <c r="R3" s="51">
        <v>45716</v>
      </c>
      <c r="S3" s="52">
        <v>-7895.75</v>
      </c>
      <c r="T3" s="53">
        <v>45736</v>
      </c>
      <c r="U3" s="63" t="s">
        <v>41</v>
      </c>
    </row>
    <row r="4" spans="1:21" ht="15" customHeight="1">
      <c r="A4" s="60"/>
      <c r="B4" s="47">
        <v>28320</v>
      </c>
      <c r="C4" s="47"/>
      <c r="D4" s="46" t="s">
        <v>38</v>
      </c>
      <c r="E4" s="46">
        <v>1</v>
      </c>
      <c r="F4" s="46">
        <v>406</v>
      </c>
      <c r="G4" s="47" t="s">
        <v>37</v>
      </c>
      <c r="H4" s="47"/>
      <c r="I4" s="54"/>
      <c r="J4" s="47"/>
      <c r="K4" s="49">
        <v>120415</v>
      </c>
      <c r="L4" s="49">
        <v>4100093157</v>
      </c>
      <c r="M4" s="49">
        <v>151714</v>
      </c>
      <c r="N4" s="50" t="s">
        <v>94</v>
      </c>
      <c r="O4" s="47" t="s">
        <v>40</v>
      </c>
      <c r="P4" s="47" t="s">
        <v>95</v>
      </c>
      <c r="Q4" s="47"/>
      <c r="R4" s="51">
        <v>45747</v>
      </c>
      <c r="S4" s="52">
        <v>-7895.75</v>
      </c>
      <c r="T4" s="53">
        <v>45767</v>
      </c>
      <c r="U4" s="63" t="s">
        <v>42</v>
      </c>
    </row>
    <row r="5" spans="1:21" ht="14.45">
      <c r="A5" s="60"/>
      <c r="B5" s="47">
        <v>28320</v>
      </c>
      <c r="C5" s="47"/>
      <c r="D5" s="46" t="s">
        <v>38</v>
      </c>
      <c r="E5" s="46">
        <v>1</v>
      </c>
      <c r="F5" s="46">
        <v>406</v>
      </c>
      <c r="G5" s="47" t="s">
        <v>37</v>
      </c>
      <c r="H5" s="47"/>
      <c r="I5" s="54"/>
      <c r="J5" s="47"/>
      <c r="K5" s="49">
        <v>120415</v>
      </c>
      <c r="L5" s="49">
        <v>4100093157</v>
      </c>
      <c r="M5" s="49">
        <v>156493</v>
      </c>
      <c r="N5" s="50" t="s">
        <v>94</v>
      </c>
      <c r="O5" s="47" t="s">
        <v>40</v>
      </c>
      <c r="P5" s="47" t="s">
        <v>95</v>
      </c>
      <c r="Q5" s="47"/>
      <c r="R5" s="51">
        <v>45777</v>
      </c>
      <c r="S5" s="52">
        <v>-7895.75</v>
      </c>
      <c r="T5" s="53">
        <v>45797</v>
      </c>
      <c r="U5" s="63" t="s">
        <v>43</v>
      </c>
    </row>
    <row r="6" spans="1:21" ht="14.45">
      <c r="A6" s="60"/>
      <c r="B6" s="47">
        <v>28320</v>
      </c>
      <c r="C6" s="47"/>
      <c r="D6" s="46" t="s">
        <v>38</v>
      </c>
      <c r="E6" s="46">
        <v>1</v>
      </c>
      <c r="F6" s="46">
        <v>406</v>
      </c>
      <c r="G6" s="47" t="s">
        <v>37</v>
      </c>
      <c r="H6" s="47"/>
      <c r="I6" s="54">
        <v>10941</v>
      </c>
      <c r="J6" s="47"/>
      <c r="K6" s="49">
        <v>120415</v>
      </c>
      <c r="L6" s="49">
        <v>4100093157</v>
      </c>
      <c r="M6" s="49">
        <v>161152</v>
      </c>
      <c r="N6" s="50" t="s">
        <v>94</v>
      </c>
      <c r="O6" s="47" t="s">
        <v>40</v>
      </c>
      <c r="P6" s="47" t="s">
        <v>95</v>
      </c>
      <c r="Q6" s="47"/>
      <c r="R6" s="51">
        <v>45808</v>
      </c>
      <c r="S6" s="52">
        <v>-7895.75</v>
      </c>
      <c r="T6" s="53">
        <v>45828</v>
      </c>
      <c r="U6" s="63" t="s">
        <v>44</v>
      </c>
    </row>
    <row r="7" spans="1:21" ht="14.45">
      <c r="A7" s="60"/>
      <c r="B7" s="47">
        <v>28320</v>
      </c>
      <c r="C7" s="47"/>
      <c r="D7" s="46" t="s">
        <v>38</v>
      </c>
      <c r="E7" s="46">
        <v>1</v>
      </c>
      <c r="F7" s="46">
        <v>406</v>
      </c>
      <c r="G7" s="47" t="s">
        <v>37</v>
      </c>
      <c r="H7" s="47"/>
      <c r="I7" s="54">
        <v>11119</v>
      </c>
      <c r="J7" s="47"/>
      <c r="K7" s="49">
        <v>120415</v>
      </c>
      <c r="L7" s="49">
        <v>4100093157</v>
      </c>
      <c r="M7" s="49">
        <v>167407</v>
      </c>
      <c r="N7" s="50" t="s">
        <v>94</v>
      </c>
      <c r="O7" s="47" t="s">
        <v>40</v>
      </c>
      <c r="P7" s="47" t="s">
        <v>95</v>
      </c>
      <c r="Q7" s="47"/>
      <c r="R7" s="51">
        <v>45838</v>
      </c>
      <c r="S7" s="52">
        <v>-7895.75</v>
      </c>
      <c r="T7" s="53">
        <v>45858</v>
      </c>
      <c r="U7" s="63" t="s">
        <v>45</v>
      </c>
    </row>
    <row r="8" spans="1:21" ht="14.45">
      <c r="A8" s="60"/>
      <c r="B8" s="47">
        <v>28320</v>
      </c>
      <c r="C8" s="47"/>
      <c r="D8" s="46" t="s">
        <v>38</v>
      </c>
      <c r="E8" s="46">
        <v>1</v>
      </c>
      <c r="F8" s="46">
        <v>406</v>
      </c>
      <c r="G8" s="47" t="s">
        <v>37</v>
      </c>
      <c r="H8" s="47"/>
      <c r="I8" s="54">
        <v>11265</v>
      </c>
      <c r="J8" s="47"/>
      <c r="K8" s="49">
        <v>120415</v>
      </c>
      <c r="L8" s="49">
        <v>4100093157</v>
      </c>
      <c r="M8" s="49">
        <v>172188</v>
      </c>
      <c r="N8" s="50" t="s">
        <v>94</v>
      </c>
      <c r="O8" s="47" t="s">
        <v>40</v>
      </c>
      <c r="P8" s="47" t="s">
        <v>95</v>
      </c>
      <c r="Q8" s="47"/>
      <c r="R8" s="51">
        <v>45869</v>
      </c>
      <c r="S8" s="52">
        <v>-7895.75</v>
      </c>
      <c r="T8" s="53">
        <v>45889</v>
      </c>
      <c r="U8" s="63" t="s">
        <v>46</v>
      </c>
    </row>
    <row r="9" spans="1:21" ht="14.45">
      <c r="A9" s="60"/>
      <c r="B9" s="47">
        <v>28320</v>
      </c>
      <c r="C9" s="47"/>
      <c r="D9" s="46" t="s">
        <v>38</v>
      </c>
      <c r="E9" s="46">
        <v>1</v>
      </c>
      <c r="F9" s="46">
        <v>406</v>
      </c>
      <c r="G9" s="47" t="s">
        <v>37</v>
      </c>
      <c r="H9" s="47"/>
      <c r="I9" s="54"/>
      <c r="J9" s="47"/>
      <c r="K9" s="49">
        <v>120415</v>
      </c>
      <c r="L9" s="49">
        <v>4100093157</v>
      </c>
      <c r="M9" s="49">
        <v>176233</v>
      </c>
      <c r="N9" s="50" t="s">
        <v>94</v>
      </c>
      <c r="O9" s="47" t="s">
        <v>40</v>
      </c>
      <c r="P9" s="47" t="s">
        <v>95</v>
      </c>
      <c r="Q9" s="47"/>
      <c r="R9" s="51">
        <v>45900</v>
      </c>
      <c r="S9" s="52">
        <v>-7895.75</v>
      </c>
      <c r="T9" s="53">
        <v>45920</v>
      </c>
      <c r="U9" s="63" t="s">
        <v>47</v>
      </c>
    </row>
    <row r="10" spans="1:21" ht="14.45">
      <c r="A10" s="60"/>
      <c r="B10" s="47">
        <v>28320</v>
      </c>
      <c r="C10" s="47"/>
      <c r="D10" s="47" t="s">
        <v>21</v>
      </c>
      <c r="E10" s="47">
        <v>2</v>
      </c>
      <c r="F10" s="46">
        <v>403</v>
      </c>
      <c r="G10" s="47" t="s">
        <v>37</v>
      </c>
      <c r="H10" s="47"/>
      <c r="I10" s="49">
        <v>11505</v>
      </c>
      <c r="J10" s="47"/>
      <c r="K10" s="49">
        <v>156171</v>
      </c>
      <c r="L10" s="49">
        <v>4100124287</v>
      </c>
      <c r="M10" s="49">
        <v>178101</v>
      </c>
      <c r="N10" s="47" t="s">
        <v>96</v>
      </c>
      <c r="O10" s="47" t="s">
        <v>54</v>
      </c>
      <c r="P10" s="47" t="s">
        <v>95</v>
      </c>
      <c r="Q10" s="47"/>
      <c r="R10" s="51">
        <v>45900</v>
      </c>
      <c r="S10" s="52">
        <v>-12113.58</v>
      </c>
      <c r="T10" s="53">
        <v>45920</v>
      </c>
      <c r="U10" s="63" t="s">
        <v>52</v>
      </c>
    </row>
    <row r="11" spans="1:21" ht="14.45">
      <c r="A11" s="60"/>
      <c r="B11" s="47">
        <v>28320</v>
      </c>
      <c r="C11" s="47"/>
      <c r="D11" s="47" t="s">
        <v>19</v>
      </c>
      <c r="E11" s="47">
        <v>3</v>
      </c>
      <c r="F11" s="46">
        <v>402</v>
      </c>
      <c r="G11" s="47" t="s">
        <v>37</v>
      </c>
      <c r="H11" s="47"/>
      <c r="I11" s="49">
        <v>11505</v>
      </c>
      <c r="J11" s="47"/>
      <c r="K11" s="49">
        <v>156171</v>
      </c>
      <c r="L11" s="49">
        <v>4100124287</v>
      </c>
      <c r="M11" s="49">
        <v>178101</v>
      </c>
      <c r="N11" s="47" t="s">
        <v>96</v>
      </c>
      <c r="O11" s="47" t="s">
        <v>60</v>
      </c>
      <c r="P11" s="47" t="s">
        <v>95</v>
      </c>
      <c r="Q11" s="47"/>
      <c r="R11" s="51">
        <v>45900</v>
      </c>
      <c r="S11" s="52">
        <v>-12113.58</v>
      </c>
      <c r="T11" s="53">
        <v>45920</v>
      </c>
      <c r="U11" s="63" t="s">
        <v>52</v>
      </c>
    </row>
    <row r="12" spans="1:21" ht="14.45">
      <c r="A12" s="60"/>
      <c r="B12" s="47">
        <v>28480</v>
      </c>
      <c r="C12" s="47" t="s">
        <v>97</v>
      </c>
      <c r="D12" s="47" t="s">
        <v>98</v>
      </c>
      <c r="E12" s="47">
        <v>4</v>
      </c>
      <c r="F12" s="46">
        <v>88</v>
      </c>
      <c r="G12" t="s">
        <v>65</v>
      </c>
      <c r="H12" s="47"/>
      <c r="I12" s="49">
        <v>114705</v>
      </c>
      <c r="J12" s="47" t="s">
        <v>99</v>
      </c>
      <c r="K12" s="49">
        <v>170757</v>
      </c>
      <c r="L12" s="49">
        <v>4100136594</v>
      </c>
      <c r="M12" s="49">
        <v>179064</v>
      </c>
      <c r="N12" s="47" t="s">
        <v>100</v>
      </c>
      <c r="O12" s="47" t="s">
        <v>40</v>
      </c>
      <c r="P12" s="47" t="s">
        <v>95</v>
      </c>
      <c r="Q12" s="47"/>
      <c r="R12" s="55">
        <v>46307</v>
      </c>
      <c r="S12" s="52">
        <v>-211904.56</v>
      </c>
      <c r="T12" s="53">
        <v>45925</v>
      </c>
      <c r="U12" s="63" t="s">
        <v>101</v>
      </c>
    </row>
    <row r="13" spans="1:21" ht="14.45">
      <c r="A13" s="60"/>
      <c r="B13" s="47">
        <v>28480</v>
      </c>
      <c r="C13" s="47" t="s">
        <v>102</v>
      </c>
      <c r="D13" s="47" t="s">
        <v>103</v>
      </c>
      <c r="E13" s="47">
        <v>4</v>
      </c>
      <c r="F13" s="46">
        <v>88</v>
      </c>
      <c r="G13" s="47" t="s">
        <v>65</v>
      </c>
      <c r="H13" s="47"/>
      <c r="I13" s="49">
        <v>114705</v>
      </c>
      <c r="J13" s="47" t="s">
        <v>99</v>
      </c>
      <c r="K13" s="49">
        <v>170757</v>
      </c>
      <c r="L13" s="49">
        <v>4100136594</v>
      </c>
      <c r="M13" s="49">
        <v>179064</v>
      </c>
      <c r="N13" s="47" t="s">
        <v>100</v>
      </c>
      <c r="O13" s="47" t="s">
        <v>40</v>
      </c>
      <c r="P13" s="47" t="s">
        <v>95</v>
      </c>
      <c r="Q13" s="47"/>
      <c r="R13" s="51">
        <v>46307</v>
      </c>
      <c r="S13" s="52">
        <v>-23519.18</v>
      </c>
      <c r="T13" s="53">
        <v>45925</v>
      </c>
      <c r="U13" s="63" t="s">
        <v>101</v>
      </c>
    </row>
    <row r="14" spans="1:21" ht="14.45">
      <c r="A14" s="60"/>
      <c r="B14" s="47">
        <v>28480</v>
      </c>
      <c r="C14" s="47" t="s">
        <v>104</v>
      </c>
      <c r="D14" s="47" t="s">
        <v>105</v>
      </c>
      <c r="E14" s="47"/>
      <c r="F14" s="46">
        <v>88</v>
      </c>
      <c r="G14" s="47" t="s">
        <v>65</v>
      </c>
      <c r="H14" s="47"/>
      <c r="I14" s="49">
        <v>114705</v>
      </c>
      <c r="J14" s="47" t="s">
        <v>99</v>
      </c>
      <c r="K14" s="49">
        <v>170757</v>
      </c>
      <c r="L14" s="49">
        <v>4100136594</v>
      </c>
      <c r="M14" s="49">
        <v>179064</v>
      </c>
      <c r="N14" s="47" t="s">
        <v>100</v>
      </c>
      <c r="O14" s="47" t="s">
        <v>40</v>
      </c>
      <c r="P14" s="47" t="s">
        <v>95</v>
      </c>
      <c r="Q14" s="47"/>
      <c r="R14" s="51">
        <v>46307</v>
      </c>
      <c r="S14" s="52">
        <v>-43601.59</v>
      </c>
      <c r="T14" s="53">
        <v>45925</v>
      </c>
      <c r="U14" s="63" t="s">
        <v>101</v>
      </c>
    </row>
    <row r="15" spans="1:21" ht="14.45">
      <c r="A15" s="60"/>
      <c r="B15" s="47">
        <v>28480</v>
      </c>
      <c r="C15" s="47" t="s">
        <v>106</v>
      </c>
      <c r="D15" s="47" t="s">
        <v>107</v>
      </c>
      <c r="E15" s="47"/>
      <c r="F15" s="46">
        <v>88</v>
      </c>
      <c r="G15" s="47" t="s">
        <v>65</v>
      </c>
      <c r="H15" s="47"/>
      <c r="I15" s="49">
        <v>114705</v>
      </c>
      <c r="J15" s="47" t="s">
        <v>99</v>
      </c>
      <c r="K15" s="49">
        <v>170757</v>
      </c>
      <c r="L15" s="49">
        <v>4100136594</v>
      </c>
      <c r="M15" s="49">
        <v>179064</v>
      </c>
      <c r="N15" s="47" t="s">
        <v>100</v>
      </c>
      <c r="O15" s="47" t="s">
        <v>40</v>
      </c>
      <c r="P15" s="47" t="s">
        <v>95</v>
      </c>
      <c r="Q15" s="47"/>
      <c r="R15" s="51">
        <v>46307</v>
      </c>
      <c r="S15" s="52">
        <v>0</v>
      </c>
      <c r="T15" s="53">
        <v>45925</v>
      </c>
      <c r="U15" s="63" t="s">
        <v>101</v>
      </c>
    </row>
    <row r="16" spans="1:21" ht="14.45">
      <c r="A16" s="60"/>
      <c r="B16" s="47">
        <v>28480</v>
      </c>
      <c r="C16" s="47" t="s">
        <v>108</v>
      </c>
      <c r="D16" s="47" t="s">
        <v>109</v>
      </c>
      <c r="E16" s="47"/>
      <c r="F16" s="46">
        <v>88</v>
      </c>
      <c r="G16" s="47" t="s">
        <v>65</v>
      </c>
      <c r="H16" s="47"/>
      <c r="I16" s="49">
        <v>114705</v>
      </c>
      <c r="J16" s="47" t="s">
        <v>99</v>
      </c>
      <c r="K16" s="49">
        <v>170757</v>
      </c>
      <c r="L16" s="49">
        <v>4100136594</v>
      </c>
      <c r="M16" s="49">
        <v>179064</v>
      </c>
      <c r="N16" s="47" t="s">
        <v>100</v>
      </c>
      <c r="O16" s="47" t="s">
        <v>40</v>
      </c>
      <c r="P16" s="47" t="s">
        <v>95</v>
      </c>
      <c r="Q16" s="47"/>
      <c r="R16" s="51">
        <v>46307</v>
      </c>
      <c r="S16" s="52">
        <v>-38247.01</v>
      </c>
      <c r="T16" s="53">
        <v>45925</v>
      </c>
      <c r="U16" s="63" t="s">
        <v>101</v>
      </c>
    </row>
    <row r="17" spans="1:24" ht="14.45">
      <c r="A17" s="60"/>
      <c r="B17" s="47">
        <v>28480</v>
      </c>
      <c r="C17" s="47" t="s">
        <v>110</v>
      </c>
      <c r="D17" s="47" t="s">
        <v>111</v>
      </c>
      <c r="E17" s="47">
        <v>4</v>
      </c>
      <c r="F17" s="46">
        <v>88</v>
      </c>
      <c r="G17" s="47" t="s">
        <v>65</v>
      </c>
      <c r="H17" s="47"/>
      <c r="I17" s="49">
        <v>114705</v>
      </c>
      <c r="J17" s="47" t="s">
        <v>99</v>
      </c>
      <c r="K17" s="49">
        <v>170757</v>
      </c>
      <c r="L17" s="49">
        <v>4100136594</v>
      </c>
      <c r="M17" s="49">
        <v>179064</v>
      </c>
      <c r="N17" s="47" t="s">
        <v>100</v>
      </c>
      <c r="O17" s="47" t="s">
        <v>40</v>
      </c>
      <c r="P17" s="47" t="s">
        <v>95</v>
      </c>
      <c r="Q17" s="47"/>
      <c r="R17" s="51">
        <v>46307</v>
      </c>
      <c r="S17" s="52">
        <v>-16077.4</v>
      </c>
      <c r="T17" s="53">
        <v>45955</v>
      </c>
      <c r="U17" s="63" t="s">
        <v>101</v>
      </c>
    </row>
    <row r="18" spans="1:24" ht="14.45">
      <c r="A18" s="60"/>
      <c r="B18" s="47">
        <v>28480</v>
      </c>
      <c r="C18" s="47" t="s">
        <v>112</v>
      </c>
      <c r="D18" s="47" t="s">
        <v>113</v>
      </c>
      <c r="E18" s="47">
        <v>4</v>
      </c>
      <c r="F18" s="46">
        <v>88</v>
      </c>
      <c r="G18" s="47" t="s">
        <v>65</v>
      </c>
      <c r="H18" s="47"/>
      <c r="I18" s="49">
        <v>114705</v>
      </c>
      <c r="J18" s="47" t="s">
        <v>99</v>
      </c>
      <c r="K18" s="49">
        <v>170757</v>
      </c>
      <c r="L18" s="49">
        <v>4100136594</v>
      </c>
      <c r="M18" s="49">
        <v>179064</v>
      </c>
      <c r="N18" s="47" t="s">
        <v>100</v>
      </c>
      <c r="O18" s="47" t="s">
        <v>40</v>
      </c>
      <c r="P18" s="47" t="s">
        <v>95</v>
      </c>
      <c r="Q18" s="47"/>
      <c r="R18" s="51">
        <v>46307</v>
      </c>
      <c r="S18" s="52">
        <v>-103854.3</v>
      </c>
      <c r="T18" s="53">
        <v>45986</v>
      </c>
      <c r="U18" s="63" t="s">
        <v>101</v>
      </c>
    </row>
    <row r="19" spans="1:24" ht="14.45">
      <c r="A19" s="60"/>
      <c r="B19" s="47">
        <v>28480</v>
      </c>
      <c r="C19" s="47" t="s">
        <v>114</v>
      </c>
      <c r="D19" s="47" t="s">
        <v>115</v>
      </c>
      <c r="E19" s="47">
        <v>5</v>
      </c>
      <c r="F19" s="46">
        <v>88</v>
      </c>
      <c r="G19" s="47" t="s">
        <v>65</v>
      </c>
      <c r="H19" s="47"/>
      <c r="I19" s="49">
        <v>114707</v>
      </c>
      <c r="J19" s="47" t="s">
        <v>99</v>
      </c>
      <c r="K19" s="49">
        <v>170757</v>
      </c>
      <c r="L19" s="49">
        <v>4100136594</v>
      </c>
      <c r="M19" s="49">
        <v>179065</v>
      </c>
      <c r="N19" s="47" t="s">
        <v>100</v>
      </c>
      <c r="O19" s="47" t="s">
        <v>40</v>
      </c>
      <c r="P19" s="47" t="s">
        <v>95</v>
      </c>
      <c r="Q19" s="47"/>
      <c r="R19" s="51">
        <v>46307</v>
      </c>
      <c r="S19" s="52">
        <v>-24310.07</v>
      </c>
      <c r="T19" s="53">
        <v>45925</v>
      </c>
      <c r="U19" s="63" t="s">
        <v>101</v>
      </c>
    </row>
    <row r="20" spans="1:24" ht="14.45">
      <c r="A20" s="60"/>
      <c r="B20" s="47">
        <v>28480</v>
      </c>
      <c r="C20" s="47" t="s">
        <v>116</v>
      </c>
      <c r="D20" s="47" t="s">
        <v>117</v>
      </c>
      <c r="E20" s="47">
        <v>5</v>
      </c>
      <c r="F20" s="46">
        <v>88</v>
      </c>
      <c r="G20" s="47" t="s">
        <v>65</v>
      </c>
      <c r="H20" s="47"/>
      <c r="I20" s="49">
        <v>114707</v>
      </c>
      <c r="J20" s="47" t="s">
        <v>99</v>
      </c>
      <c r="K20" s="49">
        <v>170757</v>
      </c>
      <c r="L20" s="49">
        <v>4100136594</v>
      </c>
      <c r="M20" s="49">
        <v>179065</v>
      </c>
      <c r="N20" s="47" t="s">
        <v>100</v>
      </c>
      <c r="O20" s="47" t="s">
        <v>40</v>
      </c>
      <c r="P20" s="47" t="s">
        <v>95</v>
      </c>
      <c r="Q20" s="47"/>
      <c r="R20" s="51">
        <v>46307</v>
      </c>
      <c r="S20" s="52">
        <v>-49602.33</v>
      </c>
      <c r="T20" s="53">
        <v>45955</v>
      </c>
      <c r="U20" s="63" t="s">
        <v>101</v>
      </c>
    </row>
    <row r="21" spans="1:24" ht="14.45">
      <c r="A21" s="64"/>
      <c r="B21" s="65">
        <v>28480</v>
      </c>
      <c r="C21" s="65" t="s">
        <v>118</v>
      </c>
      <c r="D21" s="47" t="s">
        <v>119</v>
      </c>
      <c r="E21" s="65">
        <v>5</v>
      </c>
      <c r="F21" s="66">
        <v>88</v>
      </c>
      <c r="G21" s="65" t="s">
        <v>65</v>
      </c>
      <c r="H21" s="65"/>
      <c r="I21" s="67">
        <v>114707</v>
      </c>
      <c r="J21" s="65" t="s">
        <v>99</v>
      </c>
      <c r="K21" s="67">
        <v>170757</v>
      </c>
      <c r="L21" s="67">
        <v>4100136594</v>
      </c>
      <c r="M21" s="67">
        <v>179065</v>
      </c>
      <c r="N21" s="65" t="s">
        <v>100</v>
      </c>
      <c r="O21" s="65" t="s">
        <v>40</v>
      </c>
      <c r="P21" s="65" t="s">
        <v>95</v>
      </c>
      <c r="Q21" s="65"/>
      <c r="R21" s="68">
        <v>46307</v>
      </c>
      <c r="S21" s="69">
        <v>-5505.34</v>
      </c>
      <c r="T21" s="70">
        <v>45986</v>
      </c>
      <c r="U21" s="71" t="s">
        <v>101</v>
      </c>
    </row>
    <row r="22" spans="1:24" ht="14.45">
      <c r="A22" s="64"/>
      <c r="B22" s="65"/>
      <c r="C22" s="65" t="s">
        <v>120</v>
      </c>
      <c r="D22" s="47" t="s">
        <v>121</v>
      </c>
      <c r="E22" s="65">
        <v>6</v>
      </c>
      <c r="F22" s="66">
        <v>32</v>
      </c>
      <c r="G22" s="65" t="s">
        <v>65</v>
      </c>
      <c r="H22" s="65"/>
      <c r="I22" s="67">
        <v>90462</v>
      </c>
      <c r="J22" s="65" t="s">
        <v>122</v>
      </c>
      <c r="K22" s="67">
        <v>97561</v>
      </c>
      <c r="L22" s="67">
        <v>4100071074</v>
      </c>
      <c r="M22" s="67">
        <v>139049</v>
      </c>
      <c r="N22" s="65" t="s">
        <v>123</v>
      </c>
      <c r="O22" s="65" t="s">
        <v>71</v>
      </c>
      <c r="P22" s="65"/>
      <c r="Q22" s="65"/>
      <c r="R22" s="68">
        <v>45677</v>
      </c>
      <c r="S22" s="69">
        <v>-5163.3500000000004</v>
      </c>
      <c r="T22" s="70">
        <v>45677</v>
      </c>
      <c r="U22" s="71" t="s">
        <v>70</v>
      </c>
    </row>
    <row r="23" spans="1:24" ht="14.45">
      <c r="A23" s="64"/>
      <c r="B23" s="65"/>
      <c r="C23" s="65" t="s">
        <v>124</v>
      </c>
      <c r="D23" s="47" t="s">
        <v>125</v>
      </c>
      <c r="E23" s="65">
        <v>6</v>
      </c>
      <c r="F23" s="66">
        <v>32</v>
      </c>
      <c r="G23" s="65" t="s">
        <v>65</v>
      </c>
      <c r="H23" s="65"/>
      <c r="I23" s="67">
        <v>95825</v>
      </c>
      <c r="J23" s="65" t="s">
        <v>122</v>
      </c>
      <c r="K23" s="67">
        <v>97561</v>
      </c>
      <c r="L23" s="67">
        <v>4100071074</v>
      </c>
      <c r="M23" s="67">
        <v>145096</v>
      </c>
      <c r="N23" s="65" t="s">
        <v>123</v>
      </c>
      <c r="O23" s="65" t="s">
        <v>71</v>
      </c>
      <c r="P23" s="65"/>
      <c r="Q23" s="65"/>
      <c r="R23" s="68">
        <v>45708</v>
      </c>
      <c r="S23" s="69">
        <v>-7691.41</v>
      </c>
      <c r="T23" s="70">
        <v>45708</v>
      </c>
      <c r="U23" s="71" t="s">
        <v>72</v>
      </c>
    </row>
    <row r="24" spans="1:24" ht="14.45">
      <c r="A24" s="64"/>
      <c r="B24" s="65"/>
      <c r="C24" s="65" t="s">
        <v>120</v>
      </c>
      <c r="D24" s="47" t="s">
        <v>121</v>
      </c>
      <c r="E24" s="65">
        <v>6</v>
      </c>
      <c r="F24" s="66">
        <v>32</v>
      </c>
      <c r="G24" s="65" t="s">
        <v>65</v>
      </c>
      <c r="H24" s="65"/>
      <c r="I24" s="67">
        <v>99880</v>
      </c>
      <c r="J24" s="65" t="s">
        <v>122</v>
      </c>
      <c r="K24" s="67">
        <v>97561</v>
      </c>
      <c r="L24" s="67">
        <v>4100071074</v>
      </c>
      <c r="M24" s="67">
        <v>154677</v>
      </c>
      <c r="N24" s="65" t="s">
        <v>123</v>
      </c>
      <c r="O24" s="65" t="s">
        <v>71</v>
      </c>
      <c r="P24" s="65"/>
      <c r="Q24" s="65"/>
      <c r="R24" s="68">
        <v>45764</v>
      </c>
      <c r="S24" s="69">
        <v>-5163.3500000000004</v>
      </c>
      <c r="T24" s="70">
        <v>45764</v>
      </c>
      <c r="U24" s="71" t="s">
        <v>73</v>
      </c>
    </row>
    <row r="25" spans="1:24" ht="14.45">
      <c r="A25" s="60"/>
      <c r="B25" s="47"/>
      <c r="C25" s="65" t="s">
        <v>124</v>
      </c>
      <c r="D25" s="47" t="s">
        <v>125</v>
      </c>
      <c r="E25" s="65">
        <v>6</v>
      </c>
      <c r="F25" s="46">
        <v>32</v>
      </c>
      <c r="G25" s="65" t="s">
        <v>65</v>
      </c>
      <c r="H25" s="47"/>
      <c r="I25" s="49">
        <v>99354</v>
      </c>
      <c r="J25" s="65" t="s">
        <v>122</v>
      </c>
      <c r="K25" s="49">
        <v>97561</v>
      </c>
      <c r="L25" s="49">
        <v>4100071074</v>
      </c>
      <c r="M25" s="49">
        <v>154678</v>
      </c>
      <c r="N25" s="47" t="s">
        <v>123</v>
      </c>
      <c r="O25" s="65" t="s">
        <v>71</v>
      </c>
      <c r="P25" s="47"/>
      <c r="Q25" s="47"/>
      <c r="R25" s="51">
        <v>45764</v>
      </c>
      <c r="S25" s="52">
        <v>-7691.41</v>
      </c>
      <c r="T25" s="53">
        <v>45764</v>
      </c>
      <c r="U25" s="63" t="s">
        <v>74</v>
      </c>
    </row>
    <row r="26" spans="1:24" ht="14.45">
      <c r="A26" s="60"/>
      <c r="B26" s="47"/>
      <c r="C26" s="65" t="s">
        <v>120</v>
      </c>
      <c r="D26" s="47" t="s">
        <v>125</v>
      </c>
      <c r="E26" s="65">
        <v>6</v>
      </c>
      <c r="F26" s="46">
        <v>32</v>
      </c>
      <c r="G26" s="65" t="s">
        <v>65</v>
      </c>
      <c r="H26" s="47"/>
      <c r="I26" s="49">
        <v>107937</v>
      </c>
      <c r="J26" s="65" t="s">
        <v>122</v>
      </c>
      <c r="K26" s="49">
        <v>97561</v>
      </c>
      <c r="L26" s="49">
        <v>4100071074</v>
      </c>
      <c r="M26" s="49">
        <v>166838</v>
      </c>
      <c r="N26" s="47" t="s">
        <v>123</v>
      </c>
      <c r="O26" s="65" t="s">
        <v>71</v>
      </c>
      <c r="P26" s="47"/>
      <c r="Q26" s="47"/>
      <c r="R26" s="51">
        <v>45849</v>
      </c>
      <c r="S26" s="52">
        <v>-7691.41</v>
      </c>
      <c r="T26" s="53">
        <v>45849</v>
      </c>
      <c r="U26" s="63" t="s">
        <v>75</v>
      </c>
    </row>
    <row r="27" spans="1:24" ht="14.45">
      <c r="A27" s="60"/>
      <c r="B27" s="47"/>
      <c r="C27" s="65" t="s">
        <v>124</v>
      </c>
      <c r="D27" s="47" t="s">
        <v>121</v>
      </c>
      <c r="E27" s="65">
        <v>6</v>
      </c>
      <c r="F27" s="46">
        <v>443</v>
      </c>
      <c r="G27" s="65" t="s">
        <v>65</v>
      </c>
      <c r="H27" s="47"/>
      <c r="I27" s="49">
        <v>107507</v>
      </c>
      <c r="J27" s="47" t="s">
        <v>126</v>
      </c>
      <c r="K27" s="49">
        <v>126640</v>
      </c>
      <c r="L27" s="49">
        <v>4100094170</v>
      </c>
      <c r="M27" s="49">
        <v>166848</v>
      </c>
      <c r="N27" s="47" t="s">
        <v>123</v>
      </c>
      <c r="O27" s="65" t="s">
        <v>71</v>
      </c>
      <c r="P27" s="47"/>
      <c r="Q27" s="47"/>
      <c r="R27" s="51">
        <v>45848</v>
      </c>
      <c r="S27" s="52">
        <v>-638.48</v>
      </c>
      <c r="T27" s="53">
        <v>45848</v>
      </c>
      <c r="U27" s="63" t="s">
        <v>127</v>
      </c>
    </row>
    <row r="28" spans="1:24" ht="14.45">
      <c r="A28" s="60"/>
      <c r="B28" s="47"/>
      <c r="C28" s="47" t="s">
        <v>120</v>
      </c>
      <c r="D28" s="47" t="s">
        <v>121</v>
      </c>
      <c r="E28" s="65">
        <v>6</v>
      </c>
      <c r="F28" s="46">
        <v>32</v>
      </c>
      <c r="G28" s="65" t="s">
        <v>65</v>
      </c>
      <c r="H28" s="47"/>
      <c r="I28" s="49">
        <v>107507</v>
      </c>
      <c r="J28" s="65" t="s">
        <v>122</v>
      </c>
      <c r="K28" s="49">
        <v>97561</v>
      </c>
      <c r="L28" s="49">
        <v>4100071074</v>
      </c>
      <c r="M28" s="49">
        <v>166834</v>
      </c>
      <c r="N28" s="47" t="s">
        <v>123</v>
      </c>
      <c r="O28" s="65" t="s">
        <v>71</v>
      </c>
      <c r="P28" s="47"/>
      <c r="Q28" s="47"/>
      <c r="R28" s="51">
        <v>45849</v>
      </c>
      <c r="S28" s="52">
        <v>-4524.87</v>
      </c>
      <c r="T28" s="53">
        <v>45849</v>
      </c>
      <c r="U28" s="63" t="s">
        <v>76</v>
      </c>
    </row>
    <row r="29" spans="1:24" ht="14.45">
      <c r="A29" s="60"/>
      <c r="B29" s="47">
        <v>28320</v>
      </c>
      <c r="C29" s="47"/>
      <c r="D29" s="47" t="s">
        <v>21</v>
      </c>
      <c r="E29" s="47">
        <v>2</v>
      </c>
      <c r="F29" s="46">
        <v>403</v>
      </c>
      <c r="G29" s="47" t="s">
        <v>37</v>
      </c>
      <c r="H29" s="47"/>
      <c r="I29" s="49"/>
      <c r="J29" s="47" t="s">
        <v>128</v>
      </c>
      <c r="K29" s="49">
        <v>156171</v>
      </c>
      <c r="L29" s="49">
        <v>4100124287</v>
      </c>
      <c r="M29" s="72">
        <v>179015</v>
      </c>
      <c r="N29" s="47" t="s">
        <v>96</v>
      </c>
      <c r="O29" s="47" t="s">
        <v>54</v>
      </c>
      <c r="P29" s="47" t="s">
        <v>95</v>
      </c>
      <c r="Q29" s="47"/>
      <c r="R29" s="51">
        <v>45930</v>
      </c>
      <c r="S29" s="52">
        <f t="shared" ref="S29" si="0">-33931.59/2</f>
        <v>-16965.794999999998</v>
      </c>
      <c r="T29" s="53">
        <v>45950</v>
      </c>
      <c r="U29" s="63" t="s">
        <v>55</v>
      </c>
    </row>
    <row r="30" spans="1:24" ht="14.45">
      <c r="A30" s="64"/>
      <c r="B30" s="65">
        <v>28320</v>
      </c>
      <c r="C30" s="65"/>
      <c r="D30" s="65" t="s">
        <v>19</v>
      </c>
      <c r="E30" s="65">
        <v>3</v>
      </c>
      <c r="F30" s="66">
        <v>402</v>
      </c>
      <c r="G30" s="65" t="s">
        <v>37</v>
      </c>
      <c r="H30" s="65"/>
      <c r="I30" s="67"/>
      <c r="J30" s="65" t="s">
        <v>128</v>
      </c>
      <c r="K30" s="67">
        <v>156171</v>
      </c>
      <c r="L30" s="67">
        <v>4100124287</v>
      </c>
      <c r="M30" s="67">
        <v>179015</v>
      </c>
      <c r="N30" s="65" t="s">
        <v>96</v>
      </c>
      <c r="O30" s="65" t="s">
        <v>60</v>
      </c>
      <c r="P30" s="65" t="s">
        <v>95</v>
      </c>
      <c r="Q30" s="65"/>
      <c r="R30" s="51">
        <v>45930</v>
      </c>
      <c r="S30" s="52">
        <f t="shared" ref="S30" si="1">-33931.59/2</f>
        <v>-16965.794999999998</v>
      </c>
      <c r="T30" s="70">
        <v>45950</v>
      </c>
      <c r="U30" s="71" t="s">
        <v>55</v>
      </c>
    </row>
    <row r="31" spans="1:24" ht="14.45">
      <c r="A31" s="64"/>
      <c r="B31" s="65"/>
      <c r="C31" s="65"/>
      <c r="D31" s="75" t="s">
        <v>129</v>
      </c>
      <c r="E31" s="65"/>
      <c r="F31" s="66"/>
      <c r="G31" s="65" t="s">
        <v>65</v>
      </c>
      <c r="H31" s="65"/>
      <c r="I31" s="67">
        <v>108851</v>
      </c>
      <c r="J31" s="65" t="s">
        <v>130</v>
      </c>
      <c r="K31" s="67">
        <v>156117</v>
      </c>
      <c r="L31" s="67">
        <v>4100122217</v>
      </c>
      <c r="M31" s="67">
        <v>167726</v>
      </c>
      <c r="N31" t="s">
        <v>131</v>
      </c>
      <c r="O31" s="65" t="s">
        <v>60</v>
      </c>
      <c r="P31" s="65"/>
      <c r="Q31" s="65"/>
      <c r="R31" s="68">
        <v>45853</v>
      </c>
      <c r="S31" s="69">
        <v>-69664.2</v>
      </c>
      <c r="T31" s="70">
        <v>45853</v>
      </c>
      <c r="U31" s="71" t="s">
        <v>132</v>
      </c>
    </row>
    <row r="32" spans="1:24" ht="14.45">
      <c r="A32" s="64"/>
      <c r="B32" s="65"/>
      <c r="C32" s="65"/>
      <c r="D32" s="65"/>
      <c r="E32" s="65"/>
      <c r="F32" s="66"/>
      <c r="G32" s="77"/>
      <c r="H32" s="77"/>
      <c r="I32" s="67"/>
      <c r="J32" s="65"/>
      <c r="K32" s="67"/>
      <c r="L32" s="67"/>
      <c r="M32" s="67"/>
      <c r="N32" s="77"/>
      <c r="O32" s="77"/>
      <c r="P32" s="77"/>
      <c r="Q32" s="77"/>
      <c r="R32" s="68"/>
      <c r="S32" s="78"/>
      <c r="T32" s="70">
        <v>45981</v>
      </c>
      <c r="U32" s="79" t="s">
        <v>81</v>
      </c>
      <c r="V32" s="3"/>
      <c r="W32" s="3"/>
      <c r="X32" s="3"/>
    </row>
    <row r="33" spans="7:24" ht="14.45">
      <c r="G33" s="1"/>
      <c r="H33" s="1"/>
      <c r="I33" s="57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7:24" ht="14.45">
      <c r="G34" s="3"/>
      <c r="H34" s="1"/>
      <c r="I34" s="5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</sheetData>
  <conditionalFormatting sqref="I10:I21 K2:M28 I29:I30 K30:M30 K29:L29 S2:S32">
    <cfRule type="expression" dxfId="67" priority="48">
      <formula>$B2="REP"</formula>
    </cfRule>
  </conditionalFormatting>
  <conditionalFormatting sqref="R2:R11 R13:R21 T2:T32 R29:R30">
    <cfRule type="expression" dxfId="66" priority="43">
      <formula>$C2="REAL"</formula>
    </cfRule>
    <cfRule type="expression" dxfId="65" priority="44">
      <formula>$C2="REP"</formula>
    </cfRule>
  </conditionalFormatting>
  <conditionalFormatting sqref="R12">
    <cfRule type="expression" dxfId="64" priority="13">
      <formula>$H12="REAL"</formula>
    </cfRule>
    <cfRule type="expression" dxfId="63" priority="14">
      <formula>$H12="REP"</formula>
    </cfRule>
  </conditionalFormatting>
  <conditionalFormatting sqref="I10:I21 K2:M28 I29:I30 K30:M30 K29:L29 S2:S32">
    <cfRule type="expression" dxfId="62" priority="47">
      <formula>$B2="REAL"</formula>
    </cfRule>
  </conditionalFormatting>
  <conditionalFormatting sqref="S2:S32">
    <cfRule type="cellIs" dxfId="61" priority="21" operator="greaterThanOrEqual">
      <formula>0</formula>
    </cfRule>
    <cfRule type="cellIs" dxfId="60" priority="22" operator="lessThan">
      <formula>0</formula>
    </cfRule>
  </conditionalFormatting>
  <conditionalFormatting sqref="M29">
    <cfRule type="expression" dxfId="59" priority="11">
      <formula>$F29="REAL"</formula>
    </cfRule>
    <cfRule type="expression" dxfId="58" priority="12">
      <formula>$F29="REP"</formula>
    </cfRule>
  </conditionalFormatting>
  <conditionalFormatting sqref="U32">
    <cfRule type="expression" dxfId="57" priority="1">
      <formula>$F32="REAL"</formula>
    </cfRule>
    <cfRule type="expression" dxfId="56" priority="2">
      <formula>$F32="REP"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AC90-9A8B-4F22-8509-E30C083D3D13}">
  <dimension ref="A1:AC24"/>
  <sheetViews>
    <sheetView topLeftCell="O1" workbookViewId="0">
      <pane ySplit="2" topLeftCell="A10" activePane="bottomLeft" state="frozen"/>
      <selection pane="bottomLeft" activeCell="T4" sqref="T4"/>
      <selection activeCell="B1" sqref="B1"/>
    </sheetView>
  </sheetViews>
  <sheetFormatPr defaultRowHeight="15" customHeight="1"/>
  <cols>
    <col min="1" max="1" width="19" bestFit="1" customWidth="1"/>
    <col min="2" max="2" width="28.42578125" bestFit="1" customWidth="1"/>
    <col min="3" max="3" width="24.5703125" bestFit="1" customWidth="1"/>
    <col min="4" max="4" width="14.140625" bestFit="1" customWidth="1"/>
    <col min="5" max="5" width="19.85546875" bestFit="1" customWidth="1"/>
    <col min="6" max="6" width="17.42578125" bestFit="1" customWidth="1"/>
    <col min="7" max="7" width="21.5703125" bestFit="1" customWidth="1"/>
    <col min="8" max="8" width="19.42578125" bestFit="1" customWidth="1"/>
    <col min="9" max="9" width="17.7109375" bestFit="1" customWidth="1"/>
    <col min="10" max="10" width="19.140625" bestFit="1" customWidth="1"/>
    <col min="11" max="11" width="66" customWidth="1"/>
    <col min="12" max="12" width="12.28515625" bestFit="1" customWidth="1"/>
    <col min="13" max="13" width="27.28515625" customWidth="1"/>
    <col min="14" max="14" width="18" bestFit="1" customWidth="1"/>
    <col min="15" max="15" width="16" bestFit="1" customWidth="1"/>
    <col min="16" max="16" width="23" bestFit="1" customWidth="1"/>
    <col min="17" max="17" width="11.5703125" bestFit="1" customWidth="1"/>
    <col min="18" max="18" width="14.85546875" bestFit="1" customWidth="1"/>
    <col min="19" max="19" width="20.140625" style="38" bestFit="1" customWidth="1"/>
    <col min="20" max="20" width="27.140625" bestFit="1" customWidth="1"/>
    <col min="21" max="21" width="29.140625" customWidth="1"/>
    <col min="22" max="22" width="30.140625" customWidth="1"/>
    <col min="23" max="23" width="16.28515625" customWidth="1"/>
    <col min="24" max="24" width="16.85546875" customWidth="1"/>
    <col min="25" max="25" width="24.85546875" bestFit="1" customWidth="1"/>
    <col min="26" max="26" width="18.28515625" bestFit="1" customWidth="1"/>
    <col min="27" max="27" width="18.5703125" bestFit="1" customWidth="1"/>
    <col min="28" max="28" width="31.140625" bestFit="1" customWidth="1"/>
    <col min="29" max="29" width="49.28515625" bestFit="1" customWidth="1"/>
  </cols>
  <sheetData>
    <row r="1" spans="1:29" ht="15" customHeight="1">
      <c r="M1" t="s">
        <v>133</v>
      </c>
      <c r="U1" s="39" t="s">
        <v>134</v>
      </c>
      <c r="V1" s="39" t="s">
        <v>135</v>
      </c>
      <c r="X1" s="39" t="s">
        <v>136</v>
      </c>
    </row>
    <row r="2" spans="1:29" ht="14.45">
      <c r="A2" t="s">
        <v>137</v>
      </c>
      <c r="B2" t="s">
        <v>138</v>
      </c>
      <c r="C2" t="s">
        <v>139</v>
      </c>
      <c r="D2" t="s">
        <v>140</v>
      </c>
      <c r="E2" t="s">
        <v>141</v>
      </c>
      <c r="F2" s="3" t="s">
        <v>35</v>
      </c>
      <c r="G2" t="s">
        <v>142</v>
      </c>
      <c r="H2" t="s">
        <v>143</v>
      </c>
      <c r="I2" t="s">
        <v>144</v>
      </c>
      <c r="J2" t="s">
        <v>83</v>
      </c>
      <c r="K2" t="s">
        <v>145</v>
      </c>
      <c r="L2" s="3" t="s">
        <v>36</v>
      </c>
      <c r="M2" s="3" t="s">
        <v>28</v>
      </c>
      <c r="N2" t="s">
        <v>146</v>
      </c>
      <c r="O2" t="s">
        <v>147</v>
      </c>
      <c r="P2" t="s">
        <v>148</v>
      </c>
      <c r="Q2" t="s">
        <v>149</v>
      </c>
      <c r="R2" t="s">
        <v>150</v>
      </c>
      <c r="S2" t="s">
        <v>151</v>
      </c>
      <c r="T2" s="38" t="s">
        <v>152</v>
      </c>
      <c r="U2" s="38" t="s">
        <v>153</v>
      </c>
      <c r="V2" s="38" t="s">
        <v>154</v>
      </c>
      <c r="W2" s="38" t="s">
        <v>155</v>
      </c>
      <c r="X2" s="38" t="s">
        <v>156</v>
      </c>
      <c r="Y2" s="38" t="s">
        <v>157</v>
      </c>
      <c r="Z2" t="s">
        <v>158</v>
      </c>
      <c r="AA2" t="s">
        <v>159</v>
      </c>
      <c r="AB2" s="1" t="s">
        <v>0</v>
      </c>
      <c r="AC2" t="s">
        <v>32</v>
      </c>
    </row>
    <row r="3" spans="1:29" ht="29.1">
      <c r="A3">
        <v>28320</v>
      </c>
      <c r="B3" t="s">
        <v>37</v>
      </c>
      <c r="C3" t="s">
        <v>160</v>
      </c>
      <c r="D3" t="s">
        <v>161</v>
      </c>
      <c r="E3" t="s">
        <v>162</v>
      </c>
      <c r="F3" s="37" t="s">
        <v>94</v>
      </c>
      <c r="G3" s="2">
        <v>45658</v>
      </c>
      <c r="H3" s="2">
        <v>46022</v>
      </c>
      <c r="I3" t="s">
        <v>163</v>
      </c>
      <c r="J3" t="s">
        <v>164</v>
      </c>
      <c r="K3" s="1" t="s">
        <v>38</v>
      </c>
      <c r="L3" t="s">
        <v>40</v>
      </c>
      <c r="M3">
        <v>1</v>
      </c>
      <c r="N3" s="2">
        <v>45658</v>
      </c>
      <c r="O3" s="2">
        <v>46022</v>
      </c>
      <c r="P3">
        <v>12</v>
      </c>
      <c r="Q3">
        <v>1</v>
      </c>
      <c r="R3" t="s">
        <v>165</v>
      </c>
      <c r="S3" s="38">
        <v>7985.74</v>
      </c>
      <c r="T3" s="38">
        <f>Q3*S3*P3</f>
        <v>95828.88</v>
      </c>
      <c r="U3" s="38"/>
      <c r="V3" s="38"/>
      <c r="W3" s="38"/>
      <c r="X3" s="38"/>
      <c r="Y3" s="38"/>
      <c r="Z3" t="s">
        <v>166</v>
      </c>
      <c r="AB3">
        <v>406</v>
      </c>
      <c r="AC3" t="s">
        <v>167</v>
      </c>
    </row>
    <row r="4" spans="1:29" ht="29.1">
      <c r="A4">
        <v>28320</v>
      </c>
      <c r="B4" t="s">
        <v>37</v>
      </c>
      <c r="C4" t="s">
        <v>160</v>
      </c>
      <c r="D4" t="s">
        <v>161</v>
      </c>
      <c r="E4" t="s">
        <v>162</v>
      </c>
      <c r="F4" s="37" t="s">
        <v>94</v>
      </c>
      <c r="G4" s="2">
        <v>45658</v>
      </c>
      <c r="H4" s="2">
        <v>46022</v>
      </c>
      <c r="I4" t="s">
        <v>163</v>
      </c>
      <c r="J4" t="s">
        <v>168</v>
      </c>
      <c r="K4" s="1" t="s">
        <v>169</v>
      </c>
      <c r="L4" t="s">
        <v>40</v>
      </c>
      <c r="M4">
        <v>1</v>
      </c>
      <c r="N4" s="2">
        <v>45658</v>
      </c>
      <c r="O4" s="2">
        <v>46022</v>
      </c>
      <c r="P4">
        <v>12</v>
      </c>
      <c r="Q4">
        <v>1</v>
      </c>
      <c r="R4" t="s">
        <v>170</v>
      </c>
      <c r="S4" s="38">
        <v>217.13</v>
      </c>
      <c r="T4" s="76">
        <f>Q4*S4*P4</f>
        <v>2605.56</v>
      </c>
      <c r="U4" s="38"/>
      <c r="V4" s="38"/>
      <c r="W4" s="38"/>
      <c r="X4" s="38"/>
      <c r="Y4" s="38"/>
      <c r="Z4" t="s">
        <v>171</v>
      </c>
      <c r="AB4">
        <v>406</v>
      </c>
      <c r="AC4" t="s">
        <v>172</v>
      </c>
    </row>
    <row r="5" spans="1:29" ht="14.45">
      <c r="A5">
        <v>28320</v>
      </c>
      <c r="B5" t="s">
        <v>37</v>
      </c>
      <c r="C5" t="s">
        <v>160</v>
      </c>
      <c r="D5" t="s">
        <v>161</v>
      </c>
      <c r="E5" t="s">
        <v>162</v>
      </c>
      <c r="F5" t="s">
        <v>96</v>
      </c>
      <c r="G5" s="2">
        <v>45658</v>
      </c>
      <c r="H5" s="2">
        <v>46022</v>
      </c>
      <c r="I5" t="s">
        <v>163</v>
      </c>
      <c r="J5" t="s">
        <v>173</v>
      </c>
      <c r="K5" t="s">
        <v>21</v>
      </c>
      <c r="L5" t="s">
        <v>40</v>
      </c>
      <c r="M5">
        <v>2</v>
      </c>
      <c r="N5" s="2">
        <v>45870</v>
      </c>
      <c r="O5" s="2">
        <v>46022</v>
      </c>
      <c r="P5">
        <v>5</v>
      </c>
      <c r="Q5">
        <v>1</v>
      </c>
      <c r="R5" t="s">
        <v>165</v>
      </c>
      <c r="S5" s="38">
        <v>16965.8</v>
      </c>
      <c r="T5" s="38">
        <f t="shared" ref="T5:T14" si="0">Q5*S5*P5</f>
        <v>84829</v>
      </c>
      <c r="U5" s="38"/>
      <c r="V5" s="38"/>
      <c r="W5" s="38"/>
      <c r="X5" s="38"/>
      <c r="Y5" s="38"/>
      <c r="Z5" t="s">
        <v>166</v>
      </c>
      <c r="AB5">
        <v>403</v>
      </c>
      <c r="AC5" s="40" t="s">
        <v>61</v>
      </c>
    </row>
    <row r="6" spans="1:29" ht="14.45">
      <c r="A6">
        <v>28320</v>
      </c>
      <c r="B6" t="s">
        <v>37</v>
      </c>
      <c r="C6" t="s">
        <v>160</v>
      </c>
      <c r="D6" t="s">
        <v>161</v>
      </c>
      <c r="E6" t="s">
        <v>162</v>
      </c>
      <c r="F6" t="s">
        <v>96</v>
      </c>
      <c r="G6" s="2">
        <v>45658</v>
      </c>
      <c r="H6" s="2">
        <v>46022</v>
      </c>
      <c r="I6" t="s">
        <v>163</v>
      </c>
      <c r="J6" t="s">
        <v>174</v>
      </c>
      <c r="K6" t="s">
        <v>19</v>
      </c>
      <c r="L6" t="s">
        <v>40</v>
      </c>
      <c r="M6">
        <v>3</v>
      </c>
      <c r="N6" s="2">
        <v>45870</v>
      </c>
      <c r="O6" s="2">
        <v>46022</v>
      </c>
      <c r="P6">
        <v>5</v>
      </c>
      <c r="Q6">
        <v>1</v>
      </c>
      <c r="R6" t="s">
        <v>165</v>
      </c>
      <c r="S6" s="38">
        <v>16965.8</v>
      </c>
      <c r="T6" s="38">
        <f t="shared" si="0"/>
        <v>84829</v>
      </c>
      <c r="U6" s="38"/>
      <c r="V6" s="38"/>
      <c r="W6" s="38"/>
      <c r="X6" s="38"/>
      <c r="Y6" s="38"/>
      <c r="Z6" t="s">
        <v>166</v>
      </c>
      <c r="AB6">
        <v>402</v>
      </c>
      <c r="AC6" s="40" t="s">
        <v>58</v>
      </c>
    </row>
    <row r="7" spans="1:29" ht="14.45">
      <c r="A7">
        <v>28480</v>
      </c>
      <c r="B7" t="s">
        <v>65</v>
      </c>
      <c r="C7" t="s">
        <v>175</v>
      </c>
      <c r="D7" t="s">
        <v>176</v>
      </c>
      <c r="E7" t="s">
        <v>162</v>
      </c>
      <c r="F7" t="s">
        <v>100</v>
      </c>
      <c r="G7" s="2">
        <v>45913</v>
      </c>
      <c r="H7" s="2">
        <v>46703</v>
      </c>
      <c r="I7" t="s">
        <v>177</v>
      </c>
      <c r="J7" t="s">
        <v>97</v>
      </c>
      <c r="K7" t="s">
        <v>98</v>
      </c>
      <c r="L7" t="s">
        <v>40</v>
      </c>
      <c r="M7">
        <v>4</v>
      </c>
      <c r="N7" s="2">
        <v>45913</v>
      </c>
      <c r="O7" s="2">
        <v>46703</v>
      </c>
      <c r="P7">
        <v>26</v>
      </c>
      <c r="Q7">
        <v>34</v>
      </c>
      <c r="R7" t="s">
        <v>170</v>
      </c>
      <c r="S7" s="38">
        <v>456.27</v>
      </c>
      <c r="T7" s="38">
        <f t="shared" si="0"/>
        <v>403342.68</v>
      </c>
      <c r="U7" s="41">
        <v>0.87849999999999995</v>
      </c>
      <c r="V7" s="38">
        <f>T7/U7</f>
        <v>459126.55663062038</v>
      </c>
      <c r="W7" s="42">
        <v>0.1215</v>
      </c>
      <c r="X7" s="38">
        <f>V7*W7</f>
        <v>55783.876630620376</v>
      </c>
      <c r="Y7" s="38">
        <f>T7+X7</f>
        <v>459126.55663062038</v>
      </c>
      <c r="Z7" t="s">
        <v>178</v>
      </c>
      <c r="AA7" s="43"/>
      <c r="AB7">
        <v>88</v>
      </c>
      <c r="AC7" t="s">
        <v>101</v>
      </c>
    </row>
    <row r="8" spans="1:29" ht="14.45">
      <c r="A8">
        <v>28480</v>
      </c>
      <c r="B8" t="s">
        <v>65</v>
      </c>
      <c r="C8" t="s">
        <v>175</v>
      </c>
      <c r="D8" t="s">
        <v>176</v>
      </c>
      <c r="E8" t="s">
        <v>162</v>
      </c>
      <c r="F8" t="s">
        <v>100</v>
      </c>
      <c r="G8" s="2">
        <v>45913</v>
      </c>
      <c r="H8" s="2">
        <v>46703</v>
      </c>
      <c r="I8" t="s">
        <v>177</v>
      </c>
      <c r="J8" t="s">
        <v>102</v>
      </c>
      <c r="K8" t="s">
        <v>103</v>
      </c>
      <c r="L8" t="s">
        <v>40</v>
      </c>
      <c r="N8" s="2">
        <v>45913</v>
      </c>
      <c r="O8" s="2">
        <v>46703</v>
      </c>
      <c r="P8">
        <v>26</v>
      </c>
      <c r="Q8">
        <v>5</v>
      </c>
      <c r="R8" t="s">
        <v>170</v>
      </c>
      <c r="S8" s="38">
        <v>344.36</v>
      </c>
      <c r="T8" s="38">
        <f t="shared" si="0"/>
        <v>44766.8</v>
      </c>
      <c r="U8" s="41">
        <v>0.87849999999999995</v>
      </c>
      <c r="V8" s="38">
        <f t="shared" ref="V8:V14" si="1">T8/U8</f>
        <v>50958.224245873658</v>
      </c>
      <c r="W8" s="42">
        <v>0.1215</v>
      </c>
      <c r="X8" s="38">
        <f t="shared" ref="X8:X14" si="2">V8*W8</f>
        <v>6191.4242458736489</v>
      </c>
      <c r="Y8" s="38">
        <f t="shared" ref="Y8:Y14" si="3">T8+X8</f>
        <v>50958.224245873651</v>
      </c>
      <c r="Z8" t="s">
        <v>178</v>
      </c>
      <c r="AA8" s="43"/>
      <c r="AB8">
        <v>88</v>
      </c>
      <c r="AC8" t="s">
        <v>101</v>
      </c>
    </row>
    <row r="9" spans="1:29" ht="14.45">
      <c r="A9">
        <v>28480</v>
      </c>
      <c r="B9" t="s">
        <v>65</v>
      </c>
      <c r="C9" t="s">
        <v>175</v>
      </c>
      <c r="D9" t="s">
        <v>176</v>
      </c>
      <c r="E9" t="s">
        <v>162</v>
      </c>
      <c r="F9" t="s">
        <v>100</v>
      </c>
      <c r="G9" s="2">
        <v>45913</v>
      </c>
      <c r="H9" s="2">
        <v>46703</v>
      </c>
      <c r="I9" t="s">
        <v>177</v>
      </c>
      <c r="J9" t="s">
        <v>104</v>
      </c>
      <c r="K9" t="s">
        <v>105</v>
      </c>
      <c r="L9" t="s">
        <v>40</v>
      </c>
      <c r="N9" s="2">
        <v>45913</v>
      </c>
      <c r="O9" s="2">
        <v>46703</v>
      </c>
      <c r="P9">
        <v>26</v>
      </c>
      <c r="Q9">
        <v>57</v>
      </c>
      <c r="R9" t="s">
        <v>170</v>
      </c>
      <c r="S9" s="38">
        <v>56</v>
      </c>
      <c r="T9" s="38">
        <f t="shared" si="0"/>
        <v>82992</v>
      </c>
      <c r="U9" s="41">
        <v>0.87849999999999995</v>
      </c>
      <c r="V9" s="38">
        <f t="shared" si="1"/>
        <v>94470.119521912362</v>
      </c>
      <c r="W9" s="42">
        <v>0.1215</v>
      </c>
      <c r="X9" s="38">
        <f t="shared" si="2"/>
        <v>11478.119521912351</v>
      </c>
      <c r="Y9" s="38">
        <f t="shared" si="3"/>
        <v>94470.119521912347</v>
      </c>
      <c r="Z9" t="s">
        <v>178</v>
      </c>
      <c r="AA9" s="43"/>
      <c r="AB9">
        <v>88</v>
      </c>
      <c r="AC9" t="s">
        <v>179</v>
      </c>
    </row>
    <row r="10" spans="1:29" ht="14.45">
      <c r="A10">
        <v>28480</v>
      </c>
      <c r="B10" t="s">
        <v>65</v>
      </c>
      <c r="C10" t="s">
        <v>175</v>
      </c>
      <c r="D10" t="s">
        <v>176</v>
      </c>
      <c r="E10" t="s">
        <v>162</v>
      </c>
      <c r="F10" t="s">
        <v>100</v>
      </c>
      <c r="G10" s="2">
        <v>45913</v>
      </c>
      <c r="H10" s="2">
        <v>46703</v>
      </c>
      <c r="I10" t="s">
        <v>177</v>
      </c>
      <c r="J10" t="s">
        <v>106</v>
      </c>
      <c r="K10" t="s">
        <v>107</v>
      </c>
      <c r="L10" t="s">
        <v>40</v>
      </c>
      <c r="N10" s="2">
        <v>45913</v>
      </c>
      <c r="O10" s="2">
        <v>46703</v>
      </c>
      <c r="P10">
        <v>26</v>
      </c>
      <c r="Q10">
        <v>1</v>
      </c>
      <c r="R10" t="s">
        <v>170</v>
      </c>
      <c r="S10" s="38">
        <v>0</v>
      </c>
      <c r="T10" s="38">
        <f t="shared" si="0"/>
        <v>0</v>
      </c>
      <c r="U10" s="41">
        <v>0.87849999999999995</v>
      </c>
      <c r="V10" s="38">
        <f t="shared" si="1"/>
        <v>0</v>
      </c>
      <c r="W10" s="42">
        <v>0.1215</v>
      </c>
      <c r="X10" s="38">
        <f t="shared" si="2"/>
        <v>0</v>
      </c>
      <c r="Y10" s="38">
        <f t="shared" si="3"/>
        <v>0</v>
      </c>
      <c r="Z10" t="s">
        <v>178</v>
      </c>
      <c r="AA10" s="43"/>
      <c r="AB10">
        <v>88</v>
      </c>
      <c r="AC10" t="s">
        <v>180</v>
      </c>
    </row>
    <row r="11" spans="1:29" ht="14.45">
      <c r="A11">
        <v>28480</v>
      </c>
      <c r="B11" t="s">
        <v>65</v>
      </c>
      <c r="C11" t="s">
        <v>175</v>
      </c>
      <c r="D11" t="s">
        <v>176</v>
      </c>
      <c r="E11" t="s">
        <v>162</v>
      </c>
      <c r="F11" t="s">
        <v>100</v>
      </c>
      <c r="G11" s="2">
        <v>45913</v>
      </c>
      <c r="H11" s="2">
        <v>46703</v>
      </c>
      <c r="I11" t="s">
        <v>177</v>
      </c>
      <c r="J11" t="s">
        <v>108</v>
      </c>
      <c r="K11" t="s">
        <v>109</v>
      </c>
      <c r="L11" t="s">
        <v>40</v>
      </c>
      <c r="N11" s="2">
        <v>45913</v>
      </c>
      <c r="O11" s="2">
        <v>46703</v>
      </c>
      <c r="P11">
        <v>26</v>
      </c>
      <c r="Q11">
        <v>50</v>
      </c>
      <c r="R11" t="s">
        <v>170</v>
      </c>
      <c r="S11" s="38">
        <v>56</v>
      </c>
      <c r="T11" s="38">
        <f t="shared" si="0"/>
        <v>72800</v>
      </c>
      <c r="U11" s="41">
        <v>0.87849999999999995</v>
      </c>
      <c r="V11" s="38">
        <f t="shared" si="1"/>
        <v>82868.525896414343</v>
      </c>
      <c r="W11" s="42">
        <v>0.1215</v>
      </c>
      <c r="X11" s="38">
        <f t="shared" si="2"/>
        <v>10068.525896414343</v>
      </c>
      <c r="Y11" s="38">
        <f t="shared" si="3"/>
        <v>82868.525896414343</v>
      </c>
      <c r="Z11" t="s">
        <v>178</v>
      </c>
      <c r="AA11" s="43"/>
      <c r="AB11">
        <v>88</v>
      </c>
      <c r="AC11" t="s">
        <v>181</v>
      </c>
    </row>
    <row r="12" spans="1:29" ht="14.45">
      <c r="A12">
        <v>28480</v>
      </c>
      <c r="B12" t="s">
        <v>65</v>
      </c>
      <c r="C12" t="s">
        <v>175</v>
      </c>
      <c r="D12" t="s">
        <v>176</v>
      </c>
      <c r="E12" t="s">
        <v>162</v>
      </c>
      <c r="F12" t="s">
        <v>100</v>
      </c>
      <c r="G12" s="2">
        <v>45913</v>
      </c>
      <c r="H12" s="2">
        <v>46703</v>
      </c>
      <c r="I12" t="s">
        <v>177</v>
      </c>
      <c r="J12" t="s">
        <v>110</v>
      </c>
      <c r="K12" t="s">
        <v>111</v>
      </c>
      <c r="L12" t="s">
        <v>40</v>
      </c>
      <c r="M12">
        <v>4</v>
      </c>
      <c r="N12" s="2">
        <v>45913</v>
      </c>
      <c r="O12" s="2">
        <v>46703</v>
      </c>
      <c r="P12">
        <v>26</v>
      </c>
      <c r="Q12">
        <v>1</v>
      </c>
      <c r="R12" t="s">
        <v>170</v>
      </c>
      <c r="S12" s="38">
        <v>1177</v>
      </c>
      <c r="T12" s="38">
        <f t="shared" si="0"/>
        <v>30602</v>
      </c>
      <c r="U12" s="41">
        <v>0.87849999999999995</v>
      </c>
      <c r="V12" s="38">
        <f t="shared" si="1"/>
        <v>34834.376778599886</v>
      </c>
      <c r="W12" s="42">
        <v>0.1215</v>
      </c>
      <c r="X12" s="38">
        <f t="shared" si="2"/>
        <v>4232.3767785998862</v>
      </c>
      <c r="Y12" s="38">
        <f t="shared" si="3"/>
        <v>34834.376778599886</v>
      </c>
      <c r="Z12" t="s">
        <v>178</v>
      </c>
      <c r="AA12" s="43"/>
      <c r="AB12">
        <v>88</v>
      </c>
      <c r="AC12" t="s">
        <v>182</v>
      </c>
    </row>
    <row r="13" spans="1:29" ht="14.45">
      <c r="A13">
        <v>28480</v>
      </c>
      <c r="B13" t="s">
        <v>65</v>
      </c>
      <c r="C13" t="s">
        <v>175</v>
      </c>
      <c r="D13" t="s">
        <v>176</v>
      </c>
      <c r="E13" t="s">
        <v>162</v>
      </c>
      <c r="F13" t="s">
        <v>100</v>
      </c>
      <c r="G13" s="2">
        <v>45913</v>
      </c>
      <c r="H13" s="2">
        <v>46703</v>
      </c>
      <c r="I13" t="s">
        <v>177</v>
      </c>
      <c r="J13" t="s">
        <v>112</v>
      </c>
      <c r="K13" t="s">
        <v>113</v>
      </c>
      <c r="L13" t="s">
        <v>40</v>
      </c>
      <c r="M13">
        <v>4</v>
      </c>
      <c r="N13" s="2">
        <v>45913</v>
      </c>
      <c r="O13" s="2">
        <v>46703</v>
      </c>
      <c r="P13">
        <v>26</v>
      </c>
      <c r="Q13">
        <v>100</v>
      </c>
      <c r="R13" t="s">
        <v>170</v>
      </c>
      <c r="S13" s="38">
        <v>76.03</v>
      </c>
      <c r="T13" s="38">
        <f t="shared" si="0"/>
        <v>197678</v>
      </c>
      <c r="U13" s="41">
        <v>0.87849999999999995</v>
      </c>
      <c r="V13" s="38">
        <f t="shared" si="1"/>
        <v>225017.64371087082</v>
      </c>
      <c r="W13" s="42">
        <v>0.1215</v>
      </c>
      <c r="X13" s="38">
        <f t="shared" si="2"/>
        <v>27339.643710870805</v>
      </c>
      <c r="Y13" s="38">
        <f t="shared" si="3"/>
        <v>225017.64371087082</v>
      </c>
      <c r="Z13" t="s">
        <v>178</v>
      </c>
      <c r="AA13" s="43"/>
      <c r="AB13">
        <v>88</v>
      </c>
      <c r="AC13" t="s">
        <v>183</v>
      </c>
    </row>
    <row r="14" spans="1:29" ht="14.45">
      <c r="A14">
        <v>28480</v>
      </c>
      <c r="B14" t="s">
        <v>65</v>
      </c>
      <c r="C14" t="s">
        <v>175</v>
      </c>
      <c r="D14" t="s">
        <v>176</v>
      </c>
      <c r="E14" t="s">
        <v>162</v>
      </c>
      <c r="F14" t="s">
        <v>100</v>
      </c>
      <c r="G14" s="2">
        <v>45913</v>
      </c>
      <c r="H14" s="2">
        <v>46703</v>
      </c>
      <c r="I14" t="s">
        <v>177</v>
      </c>
      <c r="J14" t="s">
        <v>114</v>
      </c>
      <c r="K14" t="s">
        <v>115</v>
      </c>
      <c r="L14" t="s">
        <v>40</v>
      </c>
      <c r="M14">
        <v>5</v>
      </c>
      <c r="N14" s="2">
        <v>45913</v>
      </c>
      <c r="O14" s="2">
        <v>46703</v>
      </c>
      <c r="P14">
        <v>26</v>
      </c>
      <c r="Q14">
        <v>34</v>
      </c>
      <c r="R14" t="s">
        <v>170</v>
      </c>
      <c r="S14" s="38">
        <v>113.61</v>
      </c>
      <c r="T14" s="38">
        <f t="shared" si="0"/>
        <v>100431.23999999999</v>
      </c>
      <c r="U14" s="41">
        <v>0.9345</v>
      </c>
      <c r="V14" s="38">
        <f t="shared" si="1"/>
        <v>107470.5617977528</v>
      </c>
      <c r="W14" s="42">
        <v>6.5500000000000003E-2</v>
      </c>
      <c r="X14" s="38">
        <f t="shared" si="2"/>
        <v>7039.3217977528084</v>
      </c>
      <c r="Y14" s="38">
        <f t="shared" si="3"/>
        <v>107470.5617977528</v>
      </c>
      <c r="Z14" t="s">
        <v>178</v>
      </c>
      <c r="AA14" s="43"/>
      <c r="AB14">
        <v>88</v>
      </c>
      <c r="AC14" t="s">
        <v>184</v>
      </c>
    </row>
    <row r="15" spans="1:29" ht="14.45">
      <c r="A15">
        <v>28480</v>
      </c>
      <c r="B15" t="s">
        <v>65</v>
      </c>
      <c r="C15" t="s">
        <v>175</v>
      </c>
      <c r="D15" t="s">
        <v>176</v>
      </c>
      <c r="E15" t="s">
        <v>162</v>
      </c>
      <c r="F15" t="s">
        <v>100</v>
      </c>
      <c r="G15" s="2">
        <v>45913</v>
      </c>
      <c r="H15" s="2">
        <v>46703</v>
      </c>
      <c r="I15" t="s">
        <v>177</v>
      </c>
      <c r="J15" t="s">
        <v>116</v>
      </c>
      <c r="K15" t="s">
        <v>117</v>
      </c>
      <c r="L15" t="s">
        <v>40</v>
      </c>
      <c r="M15">
        <v>5</v>
      </c>
      <c r="N15" s="2">
        <v>45913</v>
      </c>
      <c r="O15" s="2">
        <v>46703</v>
      </c>
      <c r="P15">
        <v>26</v>
      </c>
      <c r="Q15">
        <v>5</v>
      </c>
      <c r="R15" t="s">
        <v>170</v>
      </c>
      <c r="S15" s="38">
        <v>85.75</v>
      </c>
      <c r="T15" s="38">
        <f t="shared" ref="T15:T16" si="4">Q15*S15*P15</f>
        <v>11147.5</v>
      </c>
      <c r="U15" s="41">
        <v>0.9345</v>
      </c>
      <c r="V15" s="38">
        <f t="shared" ref="V15:V16" si="5">T15/U15</f>
        <v>11928.838951310861</v>
      </c>
      <c r="W15" s="42">
        <v>6.5500000000000003E-2</v>
      </c>
      <c r="X15" s="38">
        <f t="shared" ref="X15:X16" si="6">V15*W15</f>
        <v>781.33895131086149</v>
      </c>
      <c r="Y15" s="38">
        <f t="shared" ref="Y15:Y16" si="7">T15+X15</f>
        <v>11928.838951310861</v>
      </c>
      <c r="Z15" t="s">
        <v>178</v>
      </c>
      <c r="AA15" s="43"/>
      <c r="AB15">
        <v>88</v>
      </c>
      <c r="AC15" t="s">
        <v>185</v>
      </c>
    </row>
    <row r="16" spans="1:29" ht="14.45">
      <c r="A16">
        <v>28480</v>
      </c>
      <c r="B16" t="s">
        <v>65</v>
      </c>
      <c r="C16" t="s">
        <v>175</v>
      </c>
      <c r="D16" t="s">
        <v>176</v>
      </c>
      <c r="E16" t="s">
        <v>162</v>
      </c>
      <c r="F16" t="s">
        <v>100</v>
      </c>
      <c r="G16" s="2">
        <v>45913</v>
      </c>
      <c r="H16" s="2">
        <v>46703</v>
      </c>
      <c r="I16" t="s">
        <v>177</v>
      </c>
      <c r="J16" t="s">
        <v>118</v>
      </c>
      <c r="K16" t="s">
        <v>119</v>
      </c>
      <c r="L16" t="s">
        <v>40</v>
      </c>
      <c r="M16">
        <v>5</v>
      </c>
      <c r="N16" s="2">
        <v>45913</v>
      </c>
      <c r="O16" s="2">
        <v>46703</v>
      </c>
      <c r="P16">
        <v>26</v>
      </c>
      <c r="Q16">
        <v>100</v>
      </c>
      <c r="R16" t="s">
        <v>170</v>
      </c>
      <c r="S16" s="38">
        <v>18.93</v>
      </c>
      <c r="T16" s="38">
        <f t="shared" si="4"/>
        <v>49218</v>
      </c>
      <c r="U16" s="41">
        <v>0.9345</v>
      </c>
      <c r="V16" s="38">
        <f t="shared" si="5"/>
        <v>52667.7367576244</v>
      </c>
      <c r="W16" s="42">
        <v>6.5500000000000003E-2</v>
      </c>
      <c r="X16" s="38">
        <f t="shared" si="6"/>
        <v>3449.7367576243983</v>
      </c>
      <c r="Y16" s="38">
        <f t="shared" si="7"/>
        <v>52667.7367576244</v>
      </c>
      <c r="Z16" t="s">
        <v>178</v>
      </c>
      <c r="AA16" s="43"/>
      <c r="AB16">
        <v>88</v>
      </c>
      <c r="AC16" t="s">
        <v>186</v>
      </c>
    </row>
    <row r="17" spans="1:29" ht="14.45">
      <c r="A17" t="s">
        <v>187</v>
      </c>
      <c r="B17" t="s">
        <v>65</v>
      </c>
      <c r="C17" t="s">
        <v>175</v>
      </c>
      <c r="D17" t="s">
        <v>176</v>
      </c>
      <c r="E17" t="s">
        <v>162</v>
      </c>
      <c r="F17" t="s">
        <v>123</v>
      </c>
      <c r="G17" s="2">
        <v>45767</v>
      </c>
      <c r="H17" s="2">
        <v>45958</v>
      </c>
      <c r="I17" t="s">
        <v>177</v>
      </c>
      <c r="J17" t="s">
        <v>120</v>
      </c>
      <c r="K17" t="s">
        <v>121</v>
      </c>
      <c r="L17" t="s">
        <v>71</v>
      </c>
      <c r="M17">
        <v>6</v>
      </c>
      <c r="N17" s="2">
        <v>45594</v>
      </c>
      <c r="O17" s="2">
        <v>45958</v>
      </c>
      <c r="P17">
        <v>12</v>
      </c>
      <c r="Q17">
        <v>25</v>
      </c>
      <c r="R17" t="s">
        <v>170</v>
      </c>
      <c r="S17" s="38">
        <v>60.48</v>
      </c>
      <c r="T17" s="38">
        <f>Q17*S17*P17</f>
        <v>18144</v>
      </c>
      <c r="U17" s="41">
        <v>0.87849999999999995</v>
      </c>
      <c r="V17" s="38">
        <f>T17/U17</f>
        <v>20653.38645418327</v>
      </c>
      <c r="W17" s="42">
        <v>0.1215</v>
      </c>
      <c r="X17" s="38">
        <f>V17*W17</f>
        <v>2509.3864541832672</v>
      </c>
      <c r="Y17" s="38">
        <f>T17+X17</f>
        <v>20653.386454183266</v>
      </c>
      <c r="Z17" t="s">
        <v>188</v>
      </c>
      <c r="AA17" s="43"/>
      <c r="AB17">
        <v>32</v>
      </c>
      <c r="AC17" t="s">
        <v>189</v>
      </c>
    </row>
    <row r="18" spans="1:29" ht="14.45">
      <c r="A18" t="s">
        <v>187</v>
      </c>
      <c r="B18" t="s">
        <v>65</v>
      </c>
      <c r="C18" t="s">
        <v>175</v>
      </c>
      <c r="D18" t="s">
        <v>176</v>
      </c>
      <c r="E18" t="s">
        <v>162</v>
      </c>
      <c r="F18" t="s">
        <v>123</v>
      </c>
      <c r="G18" s="2">
        <v>45767</v>
      </c>
      <c r="H18" s="2">
        <v>45958</v>
      </c>
      <c r="I18" t="s">
        <v>177</v>
      </c>
      <c r="J18" t="s">
        <v>190</v>
      </c>
      <c r="K18" t="s">
        <v>125</v>
      </c>
      <c r="L18" t="s">
        <v>71</v>
      </c>
      <c r="M18">
        <v>6</v>
      </c>
      <c r="N18" s="2">
        <v>45411</v>
      </c>
      <c r="O18" s="2">
        <v>45958</v>
      </c>
      <c r="P18">
        <v>6</v>
      </c>
      <c r="Q18">
        <v>35</v>
      </c>
      <c r="R18" t="s">
        <v>170</v>
      </c>
      <c r="S18" s="38">
        <v>0</v>
      </c>
      <c r="T18" s="38">
        <f>Q18*S18*P18</f>
        <v>0</v>
      </c>
      <c r="U18" s="41">
        <v>0.87849999999999995</v>
      </c>
      <c r="V18" s="38">
        <f>T18/U18</f>
        <v>0</v>
      </c>
      <c r="W18" s="42">
        <v>0</v>
      </c>
      <c r="X18" s="38">
        <f>V18*W18</f>
        <v>0</v>
      </c>
      <c r="Y18" s="38">
        <f>T18+X18</f>
        <v>0</v>
      </c>
      <c r="Z18" t="s">
        <v>188</v>
      </c>
      <c r="AA18" s="43"/>
      <c r="AB18">
        <v>32</v>
      </c>
      <c r="AC18" t="s">
        <v>191</v>
      </c>
    </row>
    <row r="19" spans="1:29" ht="14.45">
      <c r="A19" t="s">
        <v>187</v>
      </c>
      <c r="B19" t="s">
        <v>65</v>
      </c>
      <c r="C19" t="s">
        <v>175</v>
      </c>
      <c r="D19" t="s">
        <v>176</v>
      </c>
      <c r="E19" t="s">
        <v>162</v>
      </c>
      <c r="F19" t="s">
        <v>123</v>
      </c>
      <c r="G19" s="2">
        <v>45767</v>
      </c>
      <c r="H19" s="2">
        <v>45958</v>
      </c>
      <c r="I19" t="s">
        <v>177</v>
      </c>
      <c r="J19" t="s">
        <v>124</v>
      </c>
      <c r="K19" t="s">
        <v>125</v>
      </c>
      <c r="L19" t="s">
        <v>71</v>
      </c>
      <c r="M19">
        <v>6</v>
      </c>
      <c r="N19" s="2">
        <v>45594</v>
      </c>
      <c r="O19" s="2">
        <v>45958</v>
      </c>
      <c r="P19">
        <v>12</v>
      </c>
      <c r="Q19">
        <v>10</v>
      </c>
      <c r="R19" t="s">
        <v>170</v>
      </c>
      <c r="S19" s="38">
        <v>225.23</v>
      </c>
      <c r="T19" s="38">
        <f>Q19*S19*P19</f>
        <v>27027.599999999999</v>
      </c>
      <c r="U19" s="41">
        <v>0.87849999999999995</v>
      </c>
      <c r="V19" s="38">
        <f>T19/U19</f>
        <v>30765.623221400114</v>
      </c>
      <c r="W19" s="42">
        <v>0.1215</v>
      </c>
      <c r="X19" s="38">
        <f>V19*W19</f>
        <v>3738.0232214001139</v>
      </c>
      <c r="Y19" s="38">
        <f>T19+X19</f>
        <v>30765.623221400114</v>
      </c>
      <c r="Z19" t="s">
        <v>188</v>
      </c>
      <c r="AA19" s="43"/>
      <c r="AB19">
        <v>32</v>
      </c>
      <c r="AC19" t="s">
        <v>191</v>
      </c>
    </row>
    <row r="20" spans="1:29" ht="14.45">
      <c r="B20" t="s">
        <v>65</v>
      </c>
      <c r="C20" t="s">
        <v>175</v>
      </c>
      <c r="D20" t="s">
        <v>176</v>
      </c>
      <c r="E20" t="s">
        <v>162</v>
      </c>
      <c r="F20" t="s">
        <v>192</v>
      </c>
      <c r="G20" s="2">
        <v>45412</v>
      </c>
      <c r="H20" s="2">
        <v>45959</v>
      </c>
      <c r="I20" t="s">
        <v>177</v>
      </c>
      <c r="J20" t="s">
        <v>193</v>
      </c>
      <c r="K20" t="s">
        <v>129</v>
      </c>
      <c r="L20" t="s">
        <v>60</v>
      </c>
      <c r="N20" s="2">
        <v>45848</v>
      </c>
      <c r="O20" s="2">
        <v>45867</v>
      </c>
      <c r="P20">
        <v>1</v>
      </c>
      <c r="Q20">
        <v>1</v>
      </c>
      <c r="R20" t="s">
        <v>170</v>
      </c>
      <c r="S20" s="38">
        <v>69664.210000000006</v>
      </c>
      <c r="T20" s="38">
        <f>Q20*S20*P20</f>
        <v>69664.210000000006</v>
      </c>
      <c r="U20" s="41"/>
      <c r="V20" s="38" t="e">
        <f>T20/U20</f>
        <v>#DIV/0!</v>
      </c>
      <c r="W20" s="42"/>
      <c r="X20" s="38" t="e">
        <f>V20*W20</f>
        <v>#DIV/0!</v>
      </c>
      <c r="Y20" s="38" t="e">
        <f>T20+X20</f>
        <v>#DIV/0!</v>
      </c>
      <c r="AA20" s="43"/>
    </row>
    <row r="21" spans="1:29" ht="14.45"/>
    <row r="22" spans="1:29" ht="14.45"/>
    <row r="23" spans="1:29" ht="14.45"/>
    <row r="24" spans="1:29" ht="14.45"/>
  </sheetData>
  <phoneticPr fontId="8" type="noConversion"/>
  <conditionalFormatting sqref="AC5:AC6">
    <cfRule type="expression" dxfId="32" priority="1">
      <formula>$F5="REAL"</formula>
    </cfRule>
    <cfRule type="expression" dxfId="31" priority="2">
      <formula>$F5="REP"</formula>
    </cfRule>
  </conditionalFormatting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C3B79-41DC-4227-B7CD-EB0B533E34A4}">
  <dimension ref="A1:K18"/>
  <sheetViews>
    <sheetView workbookViewId="0">
      <selection activeCell="E18" sqref="E18"/>
    </sheetView>
  </sheetViews>
  <sheetFormatPr defaultRowHeight="15" customHeight="1"/>
  <cols>
    <col min="1" max="1" width="12.28515625" bestFit="1" customWidth="1"/>
    <col min="2" max="2" width="11.28515625" bestFit="1" customWidth="1"/>
    <col min="3" max="4" width="11.28515625" customWidth="1"/>
    <col min="5" max="5" width="16.42578125" bestFit="1" customWidth="1"/>
    <col min="6" max="6" width="17.42578125" bestFit="1" customWidth="1"/>
    <col min="7" max="7" width="31.140625" bestFit="1" customWidth="1"/>
    <col min="8" max="8" width="13.42578125" bestFit="1" customWidth="1"/>
    <col min="9" max="9" width="21.42578125" bestFit="1" customWidth="1"/>
    <col min="10" max="10" width="26.85546875" bestFit="1" customWidth="1"/>
    <col min="11" max="11" width="15.140625" bestFit="1" customWidth="1"/>
    <col min="12" max="12" width="13.28515625" bestFit="1" customWidth="1"/>
  </cols>
  <sheetData>
    <row r="1" spans="1:11">
      <c r="A1" s="3" t="s">
        <v>194</v>
      </c>
      <c r="B1" s="3" t="s">
        <v>82</v>
      </c>
      <c r="C1" t="s">
        <v>142</v>
      </c>
      <c r="D1" t="s">
        <v>143</v>
      </c>
      <c r="E1" t="s">
        <v>83</v>
      </c>
      <c r="F1" t="s">
        <v>84</v>
      </c>
      <c r="G1" s="3" t="s">
        <v>27</v>
      </c>
      <c r="H1" t="s">
        <v>146</v>
      </c>
      <c r="I1" t="s">
        <v>147</v>
      </c>
      <c r="J1" s="3" t="s">
        <v>195</v>
      </c>
      <c r="K1" s="3" t="s">
        <v>11</v>
      </c>
    </row>
    <row r="2" spans="1:11">
      <c r="C2" s="2">
        <v>45658</v>
      </c>
      <c r="D2" s="2">
        <v>46022</v>
      </c>
      <c r="E2" t="s">
        <v>196</v>
      </c>
      <c r="F2" t="s">
        <v>197</v>
      </c>
      <c r="G2" t="s">
        <v>198</v>
      </c>
      <c r="H2" s="2">
        <v>45880</v>
      </c>
      <c r="I2" s="2">
        <v>46022</v>
      </c>
    </row>
    <row r="3" spans="1:11"/>
    <row r="4" spans="1:11"/>
    <row r="5" spans="1:11"/>
    <row r="6" spans="1:11"/>
    <row r="7" spans="1:11"/>
    <row r="8" spans="1:11"/>
    <row r="9" spans="1:11"/>
    <row r="10" spans="1:11">
      <c r="E10" s="3" t="s">
        <v>199</v>
      </c>
      <c r="F10" s="3" t="s">
        <v>200</v>
      </c>
    </row>
    <row r="11" spans="1:11">
      <c r="A11" s="1" t="s">
        <v>201</v>
      </c>
      <c r="B11" t="s">
        <v>202</v>
      </c>
      <c r="E11" s="1" t="s">
        <v>203</v>
      </c>
      <c r="F11" s="1" t="s">
        <v>4</v>
      </c>
      <c r="G11" s="1" t="s">
        <v>204</v>
      </c>
      <c r="H11" s="1" t="s">
        <v>205</v>
      </c>
      <c r="I11" s="1" t="s">
        <v>206</v>
      </c>
      <c r="J11" s="1" t="s">
        <v>207</v>
      </c>
    </row>
    <row r="12" spans="1:11"/>
    <row r="13" spans="1:11"/>
    <row r="14" spans="1:11"/>
    <row r="15" spans="1:11"/>
    <row r="16" spans="1:11"/>
    <row r="17"/>
    <row r="18"/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98FE-D1DE-4E97-8303-AA53449AB6B9}">
  <sheetPr>
    <tabColor rgb="FFFFFF00"/>
  </sheetPr>
  <dimension ref="A1:J7"/>
  <sheetViews>
    <sheetView workbookViewId="0">
      <selection activeCell="I14" sqref="I14"/>
    </sheetView>
  </sheetViews>
  <sheetFormatPr defaultRowHeight="14.45"/>
  <cols>
    <col min="1" max="1" width="20.7109375" bestFit="1" customWidth="1"/>
    <col min="2" max="2" width="9.42578125" bestFit="1" customWidth="1"/>
    <col min="3" max="3" width="12.5703125" bestFit="1" customWidth="1"/>
    <col min="4" max="4" width="21.5703125" bestFit="1" customWidth="1"/>
    <col min="5" max="5" width="20.85546875" bestFit="1" customWidth="1"/>
    <col min="6" max="7" width="10.140625" bestFit="1" customWidth="1"/>
    <col min="8" max="8" width="10.42578125" customWidth="1"/>
    <col min="9" max="9" width="15.28515625" bestFit="1" customWidth="1"/>
    <col min="10" max="10" width="24.5703125" bestFit="1" customWidth="1"/>
  </cols>
  <sheetData>
    <row r="1" spans="1:10">
      <c r="A1" t="s">
        <v>208</v>
      </c>
    </row>
    <row r="3" spans="1:10">
      <c r="A3" s="6" t="s">
        <v>209</v>
      </c>
      <c r="B3" s="9" t="s">
        <v>210</v>
      </c>
      <c r="C3" s="6" t="s">
        <v>211</v>
      </c>
      <c r="D3" s="6" t="s">
        <v>212</v>
      </c>
      <c r="E3" s="6" t="s">
        <v>213</v>
      </c>
      <c r="F3" s="6" t="s">
        <v>214</v>
      </c>
      <c r="G3" s="6" t="s">
        <v>215</v>
      </c>
      <c r="H3" s="6" t="s">
        <v>216</v>
      </c>
      <c r="I3" s="7" t="s">
        <v>158</v>
      </c>
      <c r="J3" s="7" t="s">
        <v>84</v>
      </c>
    </row>
    <row r="4" spans="1:10">
      <c r="A4" s="1">
        <v>1001</v>
      </c>
      <c r="B4" s="1">
        <v>38</v>
      </c>
      <c r="C4" s="1" t="s">
        <v>217</v>
      </c>
      <c r="D4" s="1" t="s">
        <v>218</v>
      </c>
      <c r="E4" s="1" t="s">
        <v>219</v>
      </c>
      <c r="F4" s="2">
        <v>45912</v>
      </c>
      <c r="G4" s="2">
        <v>45912</v>
      </c>
      <c r="I4" t="s">
        <v>166</v>
      </c>
      <c r="J4" t="s">
        <v>220</v>
      </c>
    </row>
    <row r="5" spans="1:10">
      <c r="A5" s="1">
        <v>1002</v>
      </c>
      <c r="B5" s="1">
        <v>402</v>
      </c>
      <c r="C5" s="1" t="s">
        <v>221</v>
      </c>
      <c r="D5" s="1" t="s">
        <v>222</v>
      </c>
      <c r="E5" s="1" t="s">
        <v>219</v>
      </c>
      <c r="I5" t="s">
        <v>223</v>
      </c>
      <c r="J5" t="s">
        <v>224</v>
      </c>
    </row>
    <row r="6" spans="1:10">
      <c r="A6" s="1">
        <v>1003</v>
      </c>
      <c r="B6" s="1">
        <v>406</v>
      </c>
      <c r="C6" s="1" t="s">
        <v>225</v>
      </c>
      <c r="D6" s="1" t="s">
        <v>222</v>
      </c>
      <c r="E6" s="1" t="s">
        <v>219</v>
      </c>
    </row>
    <row r="7" spans="1:10">
      <c r="A7" s="1">
        <v>2001</v>
      </c>
      <c r="B7" s="1">
        <v>405</v>
      </c>
      <c r="C7" s="1" t="s">
        <v>226</v>
      </c>
      <c r="D7" s="1" t="s">
        <v>227</v>
      </c>
      <c r="E7" s="1" t="s">
        <v>228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CD3F-630C-423A-9B04-ADA7E4DFAF1C}">
  <sheetPr>
    <tabColor rgb="FF00B0F0"/>
  </sheetPr>
  <dimension ref="A1:F4"/>
  <sheetViews>
    <sheetView workbookViewId="0">
      <selection activeCell="B5" sqref="B5"/>
    </sheetView>
  </sheetViews>
  <sheetFormatPr defaultRowHeight="14.45"/>
  <cols>
    <col min="1" max="1" width="16.140625" bestFit="1" customWidth="1"/>
    <col min="2" max="2" width="28.42578125" bestFit="1" customWidth="1"/>
    <col min="3" max="3" width="19.28515625" bestFit="1" customWidth="1"/>
    <col min="4" max="4" width="104.140625" bestFit="1" customWidth="1"/>
    <col min="5" max="5" width="9.7109375" bestFit="1" customWidth="1"/>
    <col min="6" max="6" width="9.5703125" bestFit="1" customWidth="1"/>
  </cols>
  <sheetData>
    <row r="1" spans="1:6">
      <c r="A1" s="3" t="s">
        <v>26</v>
      </c>
      <c r="B1" s="3" t="s">
        <v>27</v>
      </c>
      <c r="C1" t="s">
        <v>139</v>
      </c>
      <c r="D1" t="s">
        <v>229</v>
      </c>
      <c r="E1" t="s">
        <v>230</v>
      </c>
      <c r="F1" t="s">
        <v>231</v>
      </c>
    </row>
    <row r="2" spans="1:6">
      <c r="B2" t="s">
        <v>37</v>
      </c>
      <c r="C2" t="s">
        <v>160</v>
      </c>
      <c r="D2" t="s">
        <v>232</v>
      </c>
      <c r="E2" t="s">
        <v>233</v>
      </c>
      <c r="F2" t="s">
        <v>234</v>
      </c>
    </row>
    <row r="3" spans="1:6">
      <c r="B3" t="s">
        <v>65</v>
      </c>
      <c r="C3" t="s">
        <v>175</v>
      </c>
      <c r="D3" s="37" t="s">
        <v>235</v>
      </c>
      <c r="E3" t="s">
        <v>233</v>
      </c>
      <c r="F3" t="s">
        <v>234</v>
      </c>
    </row>
    <row r="4" spans="1:6">
      <c r="B4" t="s">
        <v>77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51FA-52A2-437C-A458-E41056F78196}">
  <dimension ref="A1:W53"/>
  <sheetViews>
    <sheetView topLeftCell="A17" workbookViewId="0">
      <selection activeCell="C25" sqref="C25"/>
    </sheetView>
  </sheetViews>
  <sheetFormatPr defaultRowHeight="14.45"/>
  <cols>
    <col min="1" max="1" width="34.28515625" customWidth="1"/>
    <col min="2" max="2" width="28" bestFit="1" customWidth="1"/>
    <col min="3" max="3" width="32.7109375" bestFit="1" customWidth="1"/>
    <col min="4" max="4" width="70.28515625" bestFit="1" customWidth="1"/>
    <col min="5" max="5" width="12.140625" bestFit="1" customWidth="1"/>
    <col min="14" max="14" width="36.85546875" bestFit="1" customWidth="1"/>
    <col min="15" max="15" width="28" bestFit="1" customWidth="1"/>
    <col min="16" max="16" width="32.7109375" bestFit="1" customWidth="1"/>
    <col min="17" max="17" width="70.28515625" bestFit="1" customWidth="1"/>
    <col min="18" max="18" width="57.42578125" bestFit="1" customWidth="1"/>
  </cols>
  <sheetData>
    <row r="1" spans="1:23">
      <c r="A1" t="s">
        <v>236</v>
      </c>
    </row>
    <row r="2" spans="1:23">
      <c r="N2" s="18"/>
      <c r="O2" s="19"/>
      <c r="P2" s="19"/>
      <c r="Q2" s="19"/>
      <c r="R2" s="19"/>
      <c r="S2" s="19"/>
      <c r="T2" s="19"/>
      <c r="U2" s="19"/>
      <c r="V2" s="19"/>
      <c r="W2" s="20"/>
    </row>
    <row r="3" spans="1:23">
      <c r="A3" s="18" t="s">
        <v>237</v>
      </c>
      <c r="B3" s="19"/>
      <c r="C3" s="19"/>
      <c r="D3" s="19"/>
      <c r="E3" s="19"/>
      <c r="F3" s="19"/>
      <c r="G3" s="19"/>
      <c r="H3" s="19"/>
      <c r="I3" s="19"/>
      <c r="J3" s="19"/>
      <c r="K3" s="20"/>
      <c r="N3" s="21" t="s">
        <v>238</v>
      </c>
      <c r="W3" s="22"/>
    </row>
    <row r="4" spans="1:23">
      <c r="A4" s="21"/>
      <c r="K4" s="22"/>
      <c r="N4" s="21"/>
      <c r="O4" s="27" t="s">
        <v>239</v>
      </c>
      <c r="P4" s="27" t="s">
        <v>240</v>
      </c>
      <c r="Q4" s="27" t="s">
        <v>32</v>
      </c>
      <c r="W4" s="22"/>
    </row>
    <row r="5" spans="1:23">
      <c r="A5" s="21"/>
      <c r="B5" s="3"/>
      <c r="C5" s="1"/>
      <c r="K5" s="22"/>
      <c r="N5" s="21"/>
      <c r="O5" s="23" t="s">
        <v>91</v>
      </c>
      <c r="P5" s="4">
        <v>45667</v>
      </c>
      <c r="Q5" s="1" t="s">
        <v>241</v>
      </c>
      <c r="W5" s="22"/>
    </row>
    <row r="6" spans="1:23">
      <c r="A6" s="21"/>
      <c r="B6" s="3"/>
      <c r="C6" s="1"/>
      <c r="D6" s="1"/>
      <c r="K6" s="22"/>
      <c r="N6" s="21"/>
      <c r="O6" s="23" t="s">
        <v>92</v>
      </c>
      <c r="P6" s="1" t="s">
        <v>242</v>
      </c>
      <c r="Q6" s="1" t="s">
        <v>243</v>
      </c>
      <c r="W6" s="22"/>
    </row>
    <row r="7" spans="1:23">
      <c r="A7" s="21"/>
      <c r="B7" s="3"/>
      <c r="C7" s="1"/>
      <c r="D7" s="1"/>
      <c r="K7" s="22"/>
      <c r="N7" s="21"/>
      <c r="O7" s="23" t="s">
        <v>93</v>
      </c>
      <c r="P7" s="4">
        <v>45672</v>
      </c>
      <c r="Q7" s="1" t="s">
        <v>244</v>
      </c>
      <c r="W7" s="22"/>
    </row>
    <row r="8" spans="1:23">
      <c r="A8" s="21"/>
      <c r="K8" s="22"/>
      <c r="N8" s="21"/>
      <c r="O8" s="28" t="s">
        <v>0</v>
      </c>
      <c r="P8" s="1" t="s">
        <v>201</v>
      </c>
      <c r="Q8" s="3" t="s">
        <v>245</v>
      </c>
      <c r="W8" s="22"/>
    </row>
    <row r="9" spans="1:23" ht="15" thickBot="1">
      <c r="A9" s="21"/>
      <c r="K9" s="22"/>
      <c r="N9" s="21"/>
      <c r="O9" s="3" t="s">
        <v>9</v>
      </c>
      <c r="P9" s="1">
        <v>1001</v>
      </c>
      <c r="Q9" s="1" t="s">
        <v>246</v>
      </c>
      <c r="W9" s="22"/>
    </row>
    <row r="10" spans="1:23">
      <c r="A10" s="34" t="s">
        <v>247</v>
      </c>
      <c r="B10" s="10" t="s">
        <v>26</v>
      </c>
      <c r="C10" s="11" t="s">
        <v>248</v>
      </c>
      <c r="D10" s="12" t="s">
        <v>249</v>
      </c>
      <c r="K10" s="22"/>
      <c r="N10" s="21" t="s">
        <v>250</v>
      </c>
      <c r="O10" s="23" t="s">
        <v>82</v>
      </c>
      <c r="P10" s="1" t="s">
        <v>251</v>
      </c>
      <c r="Q10" s="1" t="s">
        <v>252</v>
      </c>
      <c r="W10" s="22"/>
    </row>
    <row r="11" spans="1:23">
      <c r="A11" s="35" t="s">
        <v>247</v>
      </c>
      <c r="B11" s="3" t="s">
        <v>27</v>
      </c>
      <c r="C11" s="1" t="s">
        <v>253</v>
      </c>
      <c r="D11" s="13" t="s">
        <v>254</v>
      </c>
      <c r="K11" s="22"/>
      <c r="N11" s="21" t="s">
        <v>255</v>
      </c>
      <c r="O11" s="23" t="s">
        <v>83</v>
      </c>
      <c r="P11" s="1" t="s">
        <v>203</v>
      </c>
      <c r="Q11" s="1" t="s">
        <v>256</v>
      </c>
      <c r="W11" s="22"/>
    </row>
    <row r="12" spans="1:23">
      <c r="A12" s="35" t="s">
        <v>247</v>
      </c>
      <c r="B12" s="23" t="s">
        <v>257</v>
      </c>
      <c r="C12" s="1"/>
      <c r="D12" s="13" t="s">
        <v>256</v>
      </c>
      <c r="K12" s="22"/>
      <c r="N12" s="21" t="s">
        <v>258</v>
      </c>
      <c r="O12" s="29" t="s">
        <v>84</v>
      </c>
      <c r="P12" s="1" t="s">
        <v>4</v>
      </c>
      <c r="Q12" s="1" t="s">
        <v>259</v>
      </c>
      <c r="W12" s="22"/>
    </row>
    <row r="13" spans="1:23">
      <c r="A13" s="35" t="s">
        <v>247</v>
      </c>
      <c r="B13" s="23" t="s">
        <v>84</v>
      </c>
      <c r="C13" s="1" t="s">
        <v>260</v>
      </c>
      <c r="D13" s="13" t="s">
        <v>259</v>
      </c>
      <c r="K13" s="22"/>
      <c r="N13" s="21"/>
      <c r="O13" s="23" t="s">
        <v>32</v>
      </c>
      <c r="P13" s="1" t="s">
        <v>204</v>
      </c>
      <c r="Q13" s="1" t="s">
        <v>261</v>
      </c>
      <c r="W13" s="22"/>
    </row>
    <row r="14" spans="1:23">
      <c r="A14" s="35" t="s">
        <v>247</v>
      </c>
      <c r="B14" s="1" t="s">
        <v>0</v>
      </c>
      <c r="C14" s="1" t="s">
        <v>201</v>
      </c>
      <c r="D14" s="14" t="s">
        <v>245</v>
      </c>
      <c r="K14" s="22"/>
      <c r="N14" s="21"/>
      <c r="O14" s="23" t="s">
        <v>27</v>
      </c>
      <c r="P14" s="1" t="s">
        <v>205</v>
      </c>
      <c r="Q14" s="1" t="s">
        <v>254</v>
      </c>
      <c r="R14" s="30" t="s">
        <v>262</v>
      </c>
      <c r="W14" s="22"/>
    </row>
    <row r="15" spans="1:23">
      <c r="A15" s="35" t="s">
        <v>247</v>
      </c>
      <c r="B15" s="3" t="s">
        <v>263</v>
      </c>
      <c r="C15" s="4">
        <v>45828</v>
      </c>
      <c r="D15" s="13" t="s">
        <v>241</v>
      </c>
      <c r="K15" s="22"/>
      <c r="N15" s="21"/>
      <c r="O15" s="23" t="s">
        <v>85</v>
      </c>
      <c r="P15" s="1" t="s">
        <v>264</v>
      </c>
      <c r="Q15" s="1" t="s">
        <v>249</v>
      </c>
      <c r="R15" s="30" t="s">
        <v>262</v>
      </c>
      <c r="W15" s="22"/>
    </row>
    <row r="16" spans="1:23">
      <c r="A16" s="35" t="s">
        <v>247</v>
      </c>
      <c r="B16" s="3" t="s">
        <v>31</v>
      </c>
      <c r="C16" s="1">
        <v>2000</v>
      </c>
      <c r="D16" s="13" t="s">
        <v>243</v>
      </c>
      <c r="K16" s="22"/>
      <c r="N16" s="21"/>
      <c r="O16" s="23" t="s">
        <v>86</v>
      </c>
      <c r="P16" s="1">
        <v>123</v>
      </c>
      <c r="Q16" s="1" t="s">
        <v>265</v>
      </c>
      <c r="W16" s="22"/>
    </row>
    <row r="17" spans="1:23">
      <c r="A17" s="35" t="s">
        <v>247</v>
      </c>
      <c r="B17" s="3" t="s">
        <v>32</v>
      </c>
      <c r="C17" s="1" t="s">
        <v>266</v>
      </c>
      <c r="D17" s="13" t="s">
        <v>267</v>
      </c>
      <c r="K17" s="22"/>
      <c r="N17" s="21"/>
      <c r="O17" s="23" t="s">
        <v>88</v>
      </c>
      <c r="P17" s="1">
        <v>456</v>
      </c>
      <c r="Q17" s="1" t="s">
        <v>268</v>
      </c>
      <c r="W17" s="22"/>
    </row>
    <row r="18" spans="1:23">
      <c r="A18" s="35" t="s">
        <v>247</v>
      </c>
      <c r="B18" s="3" t="s">
        <v>33</v>
      </c>
      <c r="C18" s="1" t="s">
        <v>95</v>
      </c>
      <c r="D18" s="13" t="s">
        <v>269</v>
      </c>
      <c r="K18" s="22"/>
      <c r="N18" s="21"/>
      <c r="O18" s="23" t="s">
        <v>89</v>
      </c>
      <c r="P18" s="1">
        <v>789</v>
      </c>
      <c r="Q18" s="1" t="s">
        <v>270</v>
      </c>
      <c r="W18" s="22"/>
    </row>
    <row r="19" spans="1:23">
      <c r="A19" s="35" t="s">
        <v>247</v>
      </c>
      <c r="B19" s="3" t="s">
        <v>34</v>
      </c>
      <c r="C19" s="1" t="s">
        <v>271</v>
      </c>
      <c r="D19" s="13" t="s">
        <v>272</v>
      </c>
      <c r="K19" s="22"/>
      <c r="N19" s="21"/>
      <c r="O19" s="23" t="s">
        <v>90</v>
      </c>
      <c r="P19" s="1" t="s">
        <v>273</v>
      </c>
      <c r="Q19" s="1" t="s">
        <v>274</v>
      </c>
      <c r="W19" s="22"/>
    </row>
    <row r="20" spans="1:23">
      <c r="A20" s="35" t="s">
        <v>247</v>
      </c>
      <c r="B20" s="3" t="s">
        <v>35</v>
      </c>
      <c r="C20" s="1" t="s">
        <v>275</v>
      </c>
      <c r="D20" s="13" t="s">
        <v>276</v>
      </c>
      <c r="K20" s="22"/>
      <c r="N20" s="21"/>
      <c r="O20" s="23" t="s">
        <v>87</v>
      </c>
      <c r="P20" s="1" t="s">
        <v>277</v>
      </c>
      <c r="Q20" s="1" t="s">
        <v>278</v>
      </c>
      <c r="W20" s="22"/>
    </row>
    <row r="21" spans="1:23">
      <c r="A21" s="35" t="s">
        <v>247</v>
      </c>
      <c r="B21" s="3" t="s">
        <v>36</v>
      </c>
      <c r="C21" s="1" t="s">
        <v>40</v>
      </c>
      <c r="D21" s="13" t="s">
        <v>279</v>
      </c>
      <c r="K21" s="22"/>
      <c r="N21" s="31" t="s">
        <v>280</v>
      </c>
      <c r="O21" s="23" t="s">
        <v>35</v>
      </c>
      <c r="P21" s="1" t="s">
        <v>275</v>
      </c>
      <c r="Q21" s="1" t="s">
        <v>276</v>
      </c>
      <c r="W21" s="22"/>
    </row>
    <row r="22" spans="1:23" ht="15" thickBot="1">
      <c r="A22" s="36" t="s">
        <v>247</v>
      </c>
      <c r="B22" s="15" t="s">
        <v>9</v>
      </c>
      <c r="C22" s="16">
        <v>1001</v>
      </c>
      <c r="D22" s="17" t="s">
        <v>281</v>
      </c>
      <c r="E22" s="25"/>
      <c r="F22" s="25"/>
      <c r="G22" s="25"/>
      <c r="H22" s="25"/>
      <c r="I22" s="25"/>
      <c r="J22" s="25"/>
      <c r="K22" s="26"/>
      <c r="N22" s="21" t="s">
        <v>255</v>
      </c>
      <c r="O22" s="23" t="s">
        <v>36</v>
      </c>
      <c r="P22" s="1" t="s">
        <v>282</v>
      </c>
      <c r="Q22" s="1" t="s">
        <v>279</v>
      </c>
      <c r="W22" s="22"/>
    </row>
    <row r="23" spans="1:23">
      <c r="N23" s="21" t="s">
        <v>283</v>
      </c>
      <c r="O23" s="32" t="s">
        <v>33</v>
      </c>
      <c r="P23" s="1" t="s">
        <v>95</v>
      </c>
      <c r="Q23" s="1" t="s">
        <v>269</v>
      </c>
      <c r="W23" s="22"/>
    </row>
    <row r="24" spans="1:23">
      <c r="N24" s="21" t="s">
        <v>283</v>
      </c>
      <c r="O24" s="32" t="s">
        <v>34</v>
      </c>
      <c r="P24" s="1" t="s">
        <v>284</v>
      </c>
      <c r="Q24" s="1" t="s">
        <v>285</v>
      </c>
      <c r="W24" s="22"/>
    </row>
    <row r="25" spans="1:23">
      <c r="N25" s="21"/>
      <c r="O25" s="5"/>
      <c r="P25" s="5"/>
      <c r="Q25" s="5"/>
      <c r="R25" s="5"/>
      <c r="W25" s="22"/>
    </row>
    <row r="26" spans="1:23">
      <c r="N26" s="21"/>
      <c r="O26" s="1" t="s">
        <v>239</v>
      </c>
      <c r="P26" s="3" t="s">
        <v>263</v>
      </c>
      <c r="Q26" s="3" t="s">
        <v>31</v>
      </c>
      <c r="R26" s="3" t="s">
        <v>93</v>
      </c>
      <c r="W26" s="22"/>
    </row>
    <row r="27" spans="1:23">
      <c r="N27" s="21"/>
      <c r="O27" s="1" t="s">
        <v>240</v>
      </c>
      <c r="P27" s="4">
        <v>45667</v>
      </c>
      <c r="Q27" s="1" t="s">
        <v>242</v>
      </c>
      <c r="R27" s="4">
        <v>45672</v>
      </c>
      <c r="W27" s="22"/>
    </row>
    <row r="28" spans="1:23">
      <c r="N28" s="21"/>
      <c r="O28" s="1" t="s">
        <v>32</v>
      </c>
      <c r="P28" s="1" t="s">
        <v>241</v>
      </c>
      <c r="Q28" s="1" t="s">
        <v>243</v>
      </c>
      <c r="R28" s="1" t="s">
        <v>244</v>
      </c>
      <c r="W28" s="22"/>
    </row>
    <row r="29" spans="1:23">
      <c r="N29" s="24"/>
      <c r="O29" s="25"/>
      <c r="P29" s="25"/>
      <c r="Q29" s="25"/>
      <c r="R29" s="25"/>
      <c r="S29" s="25"/>
      <c r="T29" s="25"/>
      <c r="U29" s="25"/>
      <c r="V29" s="25"/>
      <c r="W29" s="26"/>
    </row>
    <row r="31" spans="1:23">
      <c r="A31" s="18" t="s">
        <v>286</v>
      </c>
      <c r="B31" s="19"/>
      <c r="C31" s="19"/>
      <c r="D31" s="19"/>
      <c r="E31" s="19"/>
      <c r="F31" s="19"/>
      <c r="G31" s="19"/>
      <c r="H31" s="19"/>
      <c r="I31" s="19"/>
      <c r="J31" s="19"/>
      <c r="K31" s="20"/>
    </row>
    <row r="32" spans="1:23">
      <c r="A32" s="31" t="s">
        <v>287</v>
      </c>
      <c r="K32" s="22"/>
    </row>
    <row r="33" spans="1:11">
      <c r="A33" s="21"/>
      <c r="B33" t="s">
        <v>288</v>
      </c>
      <c r="E33" t="s">
        <v>289</v>
      </c>
      <c r="K33" s="22"/>
    </row>
    <row r="34" spans="1:11">
      <c r="A34" s="21"/>
      <c r="B34" t="s">
        <v>137</v>
      </c>
      <c r="C34" t="s">
        <v>202</v>
      </c>
      <c r="D34" t="s">
        <v>290</v>
      </c>
      <c r="K34" s="22"/>
    </row>
    <row r="35" spans="1:11">
      <c r="A35" s="21"/>
      <c r="B35" t="s">
        <v>138</v>
      </c>
      <c r="C35" s="1" t="s">
        <v>253</v>
      </c>
      <c r="D35" t="s">
        <v>291</v>
      </c>
      <c r="E35" t="s">
        <v>198</v>
      </c>
      <c r="K35" s="22"/>
    </row>
    <row r="36" spans="1:11">
      <c r="A36" s="21"/>
      <c r="B36" t="s">
        <v>139</v>
      </c>
      <c r="C36" s="1"/>
      <c r="K36" s="22"/>
    </row>
    <row r="37" spans="1:11">
      <c r="A37" s="21"/>
      <c r="B37" t="s">
        <v>140</v>
      </c>
      <c r="C37" s="1" t="s">
        <v>292</v>
      </c>
      <c r="D37" t="s">
        <v>293</v>
      </c>
      <c r="K37" s="22"/>
    </row>
    <row r="38" spans="1:11">
      <c r="A38" s="21"/>
      <c r="B38" t="s">
        <v>141</v>
      </c>
      <c r="C38" s="1" t="s">
        <v>294</v>
      </c>
      <c r="D38" t="s">
        <v>295</v>
      </c>
      <c r="K38" s="22"/>
    </row>
    <row r="39" spans="1:11">
      <c r="A39" s="21"/>
      <c r="B39" s="3" t="s">
        <v>35</v>
      </c>
      <c r="C39" s="1" t="s">
        <v>275</v>
      </c>
      <c r="K39" s="22"/>
    </row>
    <row r="40" spans="1:11">
      <c r="A40" s="21"/>
      <c r="B40" t="s">
        <v>142</v>
      </c>
      <c r="C40" s="1"/>
      <c r="E40" s="2">
        <v>45658</v>
      </c>
      <c r="K40" s="22"/>
    </row>
    <row r="41" spans="1:11">
      <c r="A41" s="21"/>
      <c r="B41" t="s">
        <v>143</v>
      </c>
      <c r="C41" s="1"/>
      <c r="E41" s="2">
        <v>46022</v>
      </c>
      <c r="K41" s="22"/>
    </row>
    <row r="42" spans="1:11">
      <c r="A42" s="21"/>
      <c r="B42" t="s">
        <v>83</v>
      </c>
      <c r="E42" t="s">
        <v>296</v>
      </c>
      <c r="K42" s="22"/>
    </row>
    <row r="43" spans="1:11">
      <c r="A43" s="21"/>
      <c r="B43" t="s">
        <v>144</v>
      </c>
      <c r="C43" t="s">
        <v>163</v>
      </c>
      <c r="D43" t="s">
        <v>177</v>
      </c>
      <c r="K43" s="22"/>
    </row>
    <row r="44" spans="1:11">
      <c r="A44" s="21"/>
      <c r="B44" t="s">
        <v>84</v>
      </c>
      <c r="C44" t="s">
        <v>220</v>
      </c>
      <c r="D44" t="s">
        <v>224</v>
      </c>
      <c r="E44" t="s">
        <v>197</v>
      </c>
      <c r="K44" s="22"/>
    </row>
    <row r="45" spans="1:11">
      <c r="A45" s="21"/>
      <c r="B45" t="s">
        <v>146</v>
      </c>
      <c r="C45" s="2">
        <v>45909</v>
      </c>
      <c r="D45" s="2">
        <v>45909</v>
      </c>
      <c r="E45" s="2">
        <v>45880</v>
      </c>
      <c r="K45" s="22"/>
    </row>
    <row r="46" spans="1:11">
      <c r="A46" s="21"/>
      <c r="B46" t="s">
        <v>147</v>
      </c>
      <c r="C46" s="2">
        <v>45909</v>
      </c>
      <c r="D46" s="2">
        <v>45909</v>
      </c>
      <c r="E46" s="2">
        <v>46022</v>
      </c>
      <c r="K46" s="22"/>
    </row>
    <row r="47" spans="1:11">
      <c r="A47" s="21"/>
      <c r="B47" t="s">
        <v>149</v>
      </c>
      <c r="C47" s="2"/>
      <c r="D47" s="2"/>
      <c r="K47" s="22"/>
    </row>
    <row r="48" spans="1:11">
      <c r="A48" s="21" t="s">
        <v>297</v>
      </c>
      <c r="B48" t="s">
        <v>150</v>
      </c>
      <c r="C48" s="2"/>
      <c r="D48" s="2"/>
      <c r="K48" s="22"/>
    </row>
    <row r="49" spans="1:11">
      <c r="A49" s="21" t="s">
        <v>297</v>
      </c>
      <c r="B49" t="s">
        <v>151</v>
      </c>
      <c r="C49" s="2"/>
      <c r="D49" s="2"/>
      <c r="K49" s="22"/>
    </row>
    <row r="50" spans="1:11">
      <c r="A50" s="21" t="s">
        <v>297</v>
      </c>
      <c r="B50" t="s">
        <v>157</v>
      </c>
      <c r="C50">
        <v>120000</v>
      </c>
      <c r="D50">
        <v>350000</v>
      </c>
      <c r="E50">
        <v>118760.17</v>
      </c>
      <c r="K50" s="22"/>
    </row>
    <row r="51" spans="1:11">
      <c r="A51" s="21"/>
      <c r="B51" t="s">
        <v>158</v>
      </c>
      <c r="C51" t="s">
        <v>166</v>
      </c>
      <c r="D51" t="s">
        <v>223</v>
      </c>
      <c r="K51" s="22"/>
    </row>
    <row r="52" spans="1:11">
      <c r="A52" s="21" t="s">
        <v>298</v>
      </c>
      <c r="B52" s="8" t="s">
        <v>159</v>
      </c>
      <c r="K52" s="22"/>
    </row>
    <row r="53" spans="1:11">
      <c r="A53" s="24" t="s">
        <v>299</v>
      </c>
      <c r="B53" s="33" t="s">
        <v>0</v>
      </c>
      <c r="C53" s="25"/>
      <c r="D53" s="25"/>
      <c r="E53" s="25"/>
      <c r="F53" s="25"/>
      <c r="G53" s="25"/>
      <c r="H53" s="25"/>
      <c r="I53" s="25"/>
      <c r="J53" s="25"/>
      <c r="K53" s="2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Martins</dc:creator>
  <cp:keywords/>
  <dc:description/>
  <cp:lastModifiedBy/>
  <cp:revision/>
  <dcterms:created xsi:type="dcterms:W3CDTF">2025-09-09T13:49:42Z</dcterms:created>
  <dcterms:modified xsi:type="dcterms:W3CDTF">2025-10-31T11:16:51Z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9a3d50-b23f-47e1-bf3f-34c022794000_Enabled">
    <vt:lpwstr>true</vt:lpwstr>
  </property>
  <property fmtid="{D5CDD505-2E9C-101B-9397-08002B2CF9AE}" pid="3" name="MSIP_Label_809a3d50-b23f-47e1-bf3f-34c022794000_SetDate">
    <vt:lpwstr>2025-09-11T14:08:03Z</vt:lpwstr>
  </property>
  <property fmtid="{D5CDD505-2E9C-101B-9397-08002B2CF9AE}" pid="4" name="MSIP_Label_809a3d50-b23f-47e1-bf3f-34c022794000_Method">
    <vt:lpwstr>Privileged</vt:lpwstr>
  </property>
  <property fmtid="{D5CDD505-2E9C-101B-9397-08002B2CF9AE}" pid="5" name="MSIP_Label_809a3d50-b23f-47e1-bf3f-34c022794000_Name">
    <vt:lpwstr>Interna</vt:lpwstr>
  </property>
  <property fmtid="{D5CDD505-2E9C-101B-9397-08002B2CF9AE}" pid="6" name="MSIP_Label_809a3d50-b23f-47e1-bf3f-34c022794000_SiteId">
    <vt:lpwstr>3f7a3df4-f85b-4ca8-98d0-08b1034e6567</vt:lpwstr>
  </property>
  <property fmtid="{D5CDD505-2E9C-101B-9397-08002B2CF9AE}" pid="7" name="MSIP_Label_809a3d50-b23f-47e1-bf3f-34c022794000_ActionId">
    <vt:lpwstr>8a6f34d3-cb93-4c5f-bdf5-7b85f1af0c49</vt:lpwstr>
  </property>
  <property fmtid="{D5CDD505-2E9C-101B-9397-08002B2CF9AE}" pid="8" name="MSIP_Label_809a3d50-b23f-47e1-bf3f-34c022794000_ContentBits">
    <vt:lpwstr>0</vt:lpwstr>
  </property>
  <property fmtid="{D5CDD505-2E9C-101B-9397-08002B2CF9AE}" pid="9" name="MSIP_Label_809a3d50-b23f-47e1-bf3f-34c022794000_Tag">
    <vt:lpwstr>10, 0, 1, 1</vt:lpwstr>
  </property>
</Properties>
</file>